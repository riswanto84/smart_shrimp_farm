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Users/riswantoaris/Desktop/"/>
    </mc:Choice>
  </mc:AlternateContent>
  <xr:revisionPtr revIDLastSave="0" documentId="8_{03C60DD2-703A-624C-9183-AABF809D8A00}" xr6:coauthVersionLast="47" xr6:coauthVersionMax="47" xr10:uidLastSave="{00000000-0000-0000-0000-000000000000}"/>
  <bookViews>
    <workbookView xWindow="0" yWindow="760" windowWidth="29400" windowHeight="17280" xr2:uid="{00000000-000D-0000-FFFF-FFFF00000000}"/>
  </bookViews>
  <sheets>
    <sheet name="Lembar1" sheetId="1" r:id="rId1"/>
  </sheets>
  <definedNames>
    <definedName name="_xlnm._FilterDatabase" localSheetId="0" hidden="1">Lembar1!$A$50:$X$59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58" i="1" l="1"/>
  <c r="T59" i="1"/>
  <c r="G53" i="1"/>
  <c r="I53" i="1"/>
  <c r="P53" i="1"/>
  <c r="G54" i="1"/>
  <c r="I54" i="1"/>
  <c r="P54" i="1"/>
  <c r="G55" i="1"/>
  <c r="I55" i="1"/>
  <c r="P55" i="1"/>
  <c r="G56" i="1"/>
  <c r="I56" i="1"/>
  <c r="P56" i="1"/>
  <c r="G57" i="1"/>
  <c r="I57" i="1"/>
  <c r="P57" i="1"/>
  <c r="G58" i="1"/>
  <c r="I58" i="1"/>
  <c r="P58" i="1"/>
  <c r="P59" i="1"/>
  <c r="O53" i="1"/>
  <c r="O54" i="1"/>
  <c r="O55" i="1"/>
  <c r="O56" i="1"/>
  <c r="O57" i="1"/>
  <c r="O58" i="1"/>
  <c r="O59" i="1"/>
  <c r="G59" i="1"/>
  <c r="R58" i="1"/>
  <c r="N58" i="1"/>
  <c r="M58" i="1"/>
  <c r="L58" i="1"/>
  <c r="K58" i="1"/>
  <c r="H58" i="1"/>
  <c r="R57" i="1"/>
  <c r="Q57" i="1"/>
  <c r="N57" i="1"/>
  <c r="M57" i="1"/>
  <c r="L57" i="1"/>
  <c r="K57" i="1"/>
  <c r="H57" i="1"/>
  <c r="R56" i="1"/>
  <c r="Q56" i="1"/>
  <c r="N56" i="1"/>
  <c r="M56" i="1"/>
  <c r="L56" i="1"/>
  <c r="K56" i="1"/>
  <c r="H56" i="1"/>
  <c r="R55" i="1"/>
  <c r="Q55" i="1"/>
  <c r="N55" i="1"/>
  <c r="M55" i="1"/>
  <c r="L55" i="1"/>
  <c r="K55" i="1"/>
  <c r="H55" i="1"/>
  <c r="R54" i="1"/>
  <c r="Q54" i="1"/>
  <c r="N54" i="1"/>
  <c r="M54" i="1"/>
  <c r="L54" i="1"/>
  <c r="K54" i="1"/>
  <c r="H54" i="1"/>
  <c r="R53" i="1"/>
  <c r="Q53" i="1"/>
  <c r="N53" i="1"/>
  <c r="M53" i="1"/>
  <c r="L53" i="1"/>
  <c r="K53" i="1"/>
  <c r="H53" i="1"/>
  <c r="G40" i="1"/>
  <c r="H40" i="1"/>
  <c r="I40" i="1"/>
  <c r="K40" i="1"/>
  <c r="L40" i="1"/>
  <c r="O40" i="1"/>
  <c r="R40" i="1"/>
  <c r="M40" i="1"/>
  <c r="N40" i="1"/>
  <c r="P40" i="1"/>
  <c r="Q40" i="1"/>
  <c r="G41" i="1"/>
  <c r="H41" i="1"/>
  <c r="I41" i="1"/>
  <c r="K41" i="1"/>
  <c r="L41" i="1"/>
  <c r="O41" i="1"/>
  <c r="R41" i="1"/>
  <c r="M41" i="1"/>
  <c r="N41" i="1"/>
  <c r="P41" i="1"/>
  <c r="Q41" i="1"/>
  <c r="G42" i="1"/>
  <c r="H42" i="1"/>
  <c r="I42" i="1"/>
  <c r="K42" i="1"/>
  <c r="L42" i="1"/>
  <c r="O42" i="1"/>
  <c r="R42" i="1"/>
  <c r="M42" i="1"/>
  <c r="N42" i="1"/>
  <c r="P42" i="1"/>
  <c r="Q42" i="1"/>
  <c r="G43" i="1"/>
  <c r="H43" i="1"/>
  <c r="I43" i="1"/>
  <c r="K43" i="1"/>
  <c r="L43" i="1"/>
  <c r="O43" i="1"/>
  <c r="R43" i="1"/>
  <c r="M43" i="1"/>
  <c r="N43" i="1"/>
  <c r="P43" i="1"/>
  <c r="Q43" i="1"/>
  <c r="G44" i="1"/>
  <c r="H44" i="1"/>
  <c r="I44" i="1"/>
  <c r="K44" i="1"/>
  <c r="L44" i="1"/>
  <c r="O44" i="1"/>
  <c r="R44" i="1"/>
  <c r="M44" i="1"/>
  <c r="N44" i="1"/>
  <c r="P44" i="1"/>
  <c r="Q44" i="1"/>
  <c r="G45" i="1"/>
  <c r="H45" i="1"/>
  <c r="I45" i="1"/>
  <c r="K45" i="1"/>
  <c r="L45" i="1"/>
  <c r="O45" i="1"/>
  <c r="R45" i="1"/>
  <c r="M45" i="1"/>
  <c r="N45" i="1"/>
  <c r="P45" i="1"/>
  <c r="Q45" i="1"/>
  <c r="G46" i="1"/>
  <c r="O46" i="1"/>
  <c r="P46" i="1"/>
  <c r="T46" i="1"/>
  <c r="H30" i="1"/>
  <c r="H31" i="1"/>
  <c r="H32" i="1"/>
  <c r="H33" i="1"/>
  <c r="H34" i="1"/>
  <c r="H29" i="1"/>
  <c r="K30" i="1"/>
  <c r="K31" i="1"/>
  <c r="K32" i="1"/>
  <c r="K33" i="1"/>
  <c r="K34" i="1"/>
  <c r="K29" i="1"/>
  <c r="G31" i="1"/>
  <c r="G32" i="1"/>
  <c r="G33" i="1"/>
  <c r="G34" i="1"/>
  <c r="H17" i="1"/>
  <c r="T35" i="1"/>
  <c r="G29" i="1"/>
  <c r="I29" i="1"/>
  <c r="P29" i="1"/>
  <c r="G30" i="1"/>
  <c r="I30" i="1"/>
  <c r="P30" i="1"/>
  <c r="I31" i="1"/>
  <c r="P31" i="1"/>
  <c r="I32" i="1"/>
  <c r="P32" i="1"/>
  <c r="I33" i="1"/>
  <c r="P33" i="1"/>
  <c r="I34" i="1"/>
  <c r="P34" i="1"/>
  <c r="P35" i="1"/>
  <c r="O29" i="1"/>
  <c r="O30" i="1"/>
  <c r="O31" i="1"/>
  <c r="O32" i="1"/>
  <c r="O33" i="1"/>
  <c r="O34" i="1"/>
  <c r="O35" i="1"/>
  <c r="G35" i="1"/>
  <c r="R34" i="1"/>
  <c r="Q34" i="1"/>
  <c r="N34" i="1"/>
  <c r="M34" i="1"/>
  <c r="L34" i="1"/>
  <c r="R33" i="1"/>
  <c r="Q33" i="1"/>
  <c r="N33" i="1"/>
  <c r="M33" i="1"/>
  <c r="L33" i="1"/>
  <c r="R32" i="1"/>
  <c r="Q32" i="1"/>
  <c r="N32" i="1"/>
  <c r="M32" i="1"/>
  <c r="L32" i="1"/>
  <c r="R31" i="1"/>
  <c r="Q31" i="1"/>
  <c r="N31" i="1"/>
  <c r="M31" i="1"/>
  <c r="L31" i="1"/>
  <c r="R30" i="1"/>
  <c r="Q30" i="1"/>
  <c r="N30" i="1"/>
  <c r="M30" i="1"/>
  <c r="L30" i="1"/>
  <c r="R29" i="1"/>
  <c r="Q29" i="1"/>
  <c r="N29" i="1"/>
  <c r="M29" i="1"/>
  <c r="L29" i="1"/>
  <c r="G19" i="1"/>
  <c r="G20" i="1"/>
  <c r="G21" i="1"/>
  <c r="G22" i="1"/>
  <c r="G17" i="1"/>
  <c r="G18" i="1"/>
  <c r="G23" i="1"/>
  <c r="K18" i="1"/>
  <c r="K19" i="1"/>
  <c r="K20" i="1"/>
  <c r="K21" i="1"/>
  <c r="K22" i="1"/>
  <c r="K17" i="1"/>
  <c r="H18" i="1"/>
  <c r="AB18" i="1"/>
  <c r="H19" i="1"/>
  <c r="AB19" i="1"/>
  <c r="H20" i="1"/>
  <c r="AB20" i="1"/>
  <c r="H21" i="1"/>
  <c r="AB21" i="1"/>
  <c r="H22" i="1"/>
  <c r="AB22" i="1"/>
  <c r="AB17" i="1"/>
  <c r="G5" i="1"/>
  <c r="G6" i="1"/>
  <c r="G7" i="1"/>
  <c r="G8" i="1"/>
  <c r="G9" i="1"/>
  <c r="G10" i="1"/>
  <c r="G11" i="1"/>
  <c r="I17" i="1"/>
  <c r="L17" i="1"/>
  <c r="O17" i="1"/>
  <c r="R17" i="1"/>
  <c r="M17" i="1"/>
  <c r="N17" i="1"/>
  <c r="P17" i="1"/>
  <c r="Q17" i="1"/>
  <c r="I18" i="1"/>
  <c r="L18" i="1"/>
  <c r="O18" i="1"/>
  <c r="R18" i="1"/>
  <c r="M18" i="1"/>
  <c r="N18" i="1"/>
  <c r="P18" i="1"/>
  <c r="Q18" i="1"/>
  <c r="I19" i="1"/>
  <c r="L19" i="1"/>
  <c r="O19" i="1"/>
  <c r="R19" i="1"/>
  <c r="M19" i="1"/>
  <c r="N19" i="1"/>
  <c r="P19" i="1"/>
  <c r="Q19" i="1"/>
  <c r="I20" i="1"/>
  <c r="L20" i="1"/>
  <c r="O20" i="1"/>
  <c r="R20" i="1"/>
  <c r="M20" i="1"/>
  <c r="N20" i="1"/>
  <c r="P20" i="1"/>
  <c r="Q20" i="1"/>
  <c r="I21" i="1"/>
  <c r="L21" i="1"/>
  <c r="O21" i="1"/>
  <c r="R21" i="1"/>
  <c r="M21" i="1"/>
  <c r="N21" i="1"/>
  <c r="P21" i="1"/>
  <c r="Q21" i="1"/>
  <c r="I22" i="1"/>
  <c r="L22" i="1"/>
  <c r="O22" i="1"/>
  <c r="R22" i="1"/>
  <c r="M22" i="1"/>
  <c r="N22" i="1"/>
  <c r="P22" i="1"/>
  <c r="Q22" i="1"/>
  <c r="O23" i="1"/>
  <c r="P23" i="1"/>
  <c r="T23" i="1"/>
  <c r="T11" i="1"/>
  <c r="I5" i="1"/>
  <c r="P5" i="1"/>
  <c r="I6" i="1"/>
  <c r="P6" i="1"/>
  <c r="I7" i="1"/>
  <c r="P7" i="1"/>
  <c r="I8" i="1"/>
  <c r="P8" i="1"/>
  <c r="I9" i="1"/>
  <c r="P9" i="1"/>
  <c r="I10" i="1"/>
  <c r="P10" i="1"/>
  <c r="P11" i="1"/>
  <c r="O5" i="1"/>
  <c r="O6" i="1"/>
  <c r="O7" i="1"/>
  <c r="O8" i="1"/>
  <c r="O9" i="1"/>
  <c r="O10" i="1"/>
  <c r="O11" i="1"/>
  <c r="R6" i="1"/>
  <c r="R7" i="1"/>
  <c r="R8" i="1"/>
  <c r="R9" i="1"/>
  <c r="R10" i="1"/>
  <c r="Q6" i="1"/>
  <c r="Q7" i="1"/>
  <c r="Q8" i="1"/>
  <c r="Q9" i="1"/>
  <c r="Q10" i="1"/>
  <c r="N6" i="1"/>
  <c r="N7" i="1"/>
  <c r="N8" i="1"/>
  <c r="N9" i="1"/>
  <c r="N10" i="1"/>
  <c r="M6" i="1"/>
  <c r="M7" i="1"/>
  <c r="M8" i="1"/>
  <c r="M9" i="1"/>
  <c r="M10" i="1"/>
  <c r="L10" i="1"/>
  <c r="L6" i="1"/>
  <c r="L7" i="1"/>
  <c r="L8" i="1"/>
  <c r="L9" i="1"/>
  <c r="Q5" i="1"/>
  <c r="N5" i="1"/>
  <c r="R5" i="1"/>
  <c r="M5" i="1"/>
  <c r="L5" i="1"/>
</calcChain>
</file>

<file path=xl/sharedStrings.xml><?xml version="1.0" encoding="utf-8"?>
<sst xmlns="http://schemas.openxmlformats.org/spreadsheetml/2006/main" count="194" uniqueCount="39">
  <si>
    <t>Kolam</t>
  </si>
  <si>
    <t>Tanggal</t>
  </si>
  <si>
    <t>DOC</t>
  </si>
  <si>
    <t>SHRIMP</t>
  </si>
  <si>
    <t>Berat (gr)</t>
  </si>
  <si>
    <t>Jumlah (ekor)</t>
  </si>
  <si>
    <t>Last</t>
  </si>
  <si>
    <t>Target</t>
  </si>
  <si>
    <t>Size (pcs/kg)</t>
  </si>
  <si>
    <t>ADG Weekly (Gr/Day)</t>
  </si>
  <si>
    <t>Actual</t>
  </si>
  <si>
    <t>ADG Accum. (gr/day)</t>
  </si>
  <si>
    <t>Estimasi (to day)</t>
  </si>
  <si>
    <t>SR% (FR)</t>
  </si>
  <si>
    <t>SR% (index)</t>
  </si>
  <si>
    <t>FR</t>
  </si>
  <si>
    <t>Index</t>
  </si>
  <si>
    <t>FCR</t>
  </si>
  <si>
    <t>Populasi</t>
  </si>
  <si>
    <t xml:space="preserve">Index </t>
  </si>
  <si>
    <t xml:space="preserve">Pakan Komulatif </t>
  </si>
  <si>
    <t>Tebar</t>
  </si>
  <si>
    <t>F/D</t>
  </si>
  <si>
    <t>K1</t>
  </si>
  <si>
    <t>K2</t>
  </si>
  <si>
    <t>K3</t>
  </si>
  <si>
    <t>K5</t>
  </si>
  <si>
    <t>K6</t>
  </si>
  <si>
    <t>K7</t>
  </si>
  <si>
    <t xml:space="preserve">To day </t>
  </si>
  <si>
    <t>ABW (gr)</t>
  </si>
  <si>
    <t>-</t>
  </si>
  <si>
    <t>Biomassa (kg)</t>
  </si>
  <si>
    <t>Sampling Anco 1 (Siklus 8 udang emas Nusantara CV.Dua Satu Kreasi</t>
  </si>
  <si>
    <t>KG</t>
  </si>
  <si>
    <t>Sampling  2 (Siklus 8 udang emas Nusantara CV.Dua Satu Kreasi</t>
  </si>
  <si>
    <t>Sampling  3 (10)(Siklus 8 udang emas Nusantara CV.Dua Satu Kreasi</t>
  </si>
  <si>
    <t>Sampling  3 (Siklus 8 udang emas Nusantara CV.Dua Satu Kreasi</t>
  </si>
  <si>
    <t>Sampling  4 (Siklus 8 udang emas Nusantara CV.Dua Satu Kreasi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</si>
</sst>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charset val="1"/>
      <scheme val="minor"/>
    </font>
    <font>
      <sz val="11"/>
      <color rgb="FF3F3F76"/>
      <name val="Aptos Narrow"/>
      <family val="2"/>
      <charset val="1"/>
      <scheme val="minor"/>
    </font>
    <font>
      <b/>
      <sz val="11"/>
      <color rgb="FF3F3F76"/>
      <name val="Aptos Narrow"/>
      <family val="2"/>
      <charset val="1"/>
      <scheme val="minor"/>
    </font>
    <font>
      <b/>
      <sz val="14"/>
      <color theme="1"/>
      <name val="Aptos Narrow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">
    <xf numFmtId="0" fontId="0" fillId="0" borderId="0" xfId="0"/>
    <xf numFmtId="0" fontId="0" fillId="0" borderId="2" xfId="0" applyBorder="1"/>
    <xf numFmtId="14" fontId="0" fillId="0" borderId="2" xfId="0" applyNumberFormat="1" applyBorder="1"/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2" fillId="2" borderId="1" xfId="1" applyFont="1" applyAlignment="1">
      <alignment horizontal="center" vertical="center"/>
    </xf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0" fontId="2" fillId="2" borderId="1" xfId="1" applyFont="1" applyAlignment="1">
      <alignment horizontal="center" vertical="center"/>
    </xf>
  </cellXfs>
  <cellStyles count="2">
    <cellStyle name="Masukan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71BC9-AC59-424B-B542-7FE0D1F5D50E}">
  <dimension ref="A1:AB59"/>
  <sheetViews>
    <sheetView tabSelected="1" zoomScaleNormal="60" zoomScaleSheetLayoutView="100" workbookViewId="0">
      <pane xSplit="1" topLeftCell="B1" activePane="topRight" state="frozen"/>
      <selection activeCell="A10" sqref="A10"/>
      <selection pane="topRight" activeCell="T15" sqref="T15"/>
    </sheetView>
  </sheetViews>
  <sheetFormatPr baseColWidth="10" defaultColWidth="8.83203125" defaultRowHeight="15" x14ac:dyDescent="0.2"/>
  <cols>
    <col min="1" max="1" width="6.1640625" bestFit="1" customWidth="1"/>
    <col min="2" max="2" width="10.83203125" bestFit="1" customWidth="1"/>
    <col min="3" max="3" width="4.83203125" bestFit="1" customWidth="1"/>
    <col min="4" max="4" width="8.5" bestFit="1" customWidth="1"/>
    <col min="5" max="5" width="12" bestFit="1" customWidth="1"/>
    <col min="6" max="6" width="6.6640625" customWidth="1"/>
    <col min="7" max="7" width="9.33203125" customWidth="1"/>
    <col min="8" max="8" width="7.5" customWidth="1"/>
    <col min="9" max="9" width="12.33203125" bestFit="1" customWidth="1"/>
    <col min="10" max="11" width="10.1640625" customWidth="1"/>
    <col min="12" max="12" width="18.33203125" bestFit="1" customWidth="1"/>
    <col min="13" max="13" width="11" bestFit="1" customWidth="1"/>
    <col min="14" max="14" width="12.33203125" bestFit="1" customWidth="1"/>
    <col min="15" max="15" width="12" bestFit="1" customWidth="1"/>
    <col min="16" max="16" width="11" bestFit="1" customWidth="1"/>
    <col min="17" max="17" width="9.1640625" bestFit="1" customWidth="1"/>
    <col min="18" max="18" width="14.33203125" bestFit="1" customWidth="1"/>
    <col min="19" max="19" width="8.1640625" bestFit="1" customWidth="1"/>
    <col min="20" max="20" width="14.83203125" bestFit="1" customWidth="1"/>
    <col min="21" max="21" width="8.6640625" bestFit="1" customWidth="1"/>
    <col min="22" max="22" width="3.83203125" bestFit="1" customWidth="1"/>
    <col min="23" max="24" width="5.33203125" bestFit="1" customWidth="1"/>
  </cols>
  <sheetData>
    <row r="1" spans="1:24" ht="19" x14ac:dyDescent="0.25">
      <c r="E1" s="8" t="s">
        <v>33</v>
      </c>
      <c r="F1" s="8"/>
      <c r="G1" s="8"/>
      <c r="H1" s="8"/>
      <c r="I1" s="8"/>
      <c r="J1" s="8"/>
      <c r="K1" s="8"/>
    </row>
    <row r="3" spans="1:24" x14ac:dyDescent="0.2">
      <c r="A3" s="7" t="s">
        <v>0</v>
      </c>
      <c r="B3" s="7" t="s">
        <v>1</v>
      </c>
      <c r="C3" s="7" t="s">
        <v>2</v>
      </c>
      <c r="D3" s="13" t="s">
        <v>3</v>
      </c>
      <c r="E3" s="13"/>
      <c r="F3" s="13" t="s">
        <v>30</v>
      </c>
      <c r="G3" s="13"/>
      <c r="H3" s="13"/>
      <c r="I3" s="7" t="s">
        <v>8</v>
      </c>
      <c r="J3" s="13" t="s">
        <v>9</v>
      </c>
      <c r="K3" s="13"/>
      <c r="L3" s="13" t="s">
        <v>11</v>
      </c>
      <c r="M3" s="13" t="s">
        <v>12</v>
      </c>
      <c r="N3" s="13"/>
      <c r="O3" s="13" t="s">
        <v>32</v>
      </c>
      <c r="P3" s="13"/>
      <c r="Q3" s="7" t="s">
        <v>17</v>
      </c>
      <c r="R3" s="13" t="s">
        <v>18</v>
      </c>
      <c r="S3" s="13"/>
      <c r="T3" s="7" t="s">
        <v>20</v>
      </c>
      <c r="U3" s="7" t="s">
        <v>21</v>
      </c>
      <c r="V3" s="7" t="s">
        <v>22</v>
      </c>
      <c r="W3" s="7" t="s">
        <v>15</v>
      </c>
      <c r="X3" s="7" t="s">
        <v>16</v>
      </c>
    </row>
    <row r="4" spans="1:24" x14ac:dyDescent="0.2">
      <c r="A4" s="7"/>
      <c r="B4" s="7"/>
      <c r="C4" s="7"/>
      <c r="D4" s="7" t="s">
        <v>4</v>
      </c>
      <c r="E4" s="7" t="s">
        <v>5</v>
      </c>
      <c r="F4" s="7" t="s">
        <v>6</v>
      </c>
      <c r="G4" s="7" t="s">
        <v>29</v>
      </c>
      <c r="H4" s="7" t="s">
        <v>7</v>
      </c>
      <c r="I4" s="7"/>
      <c r="J4" s="7" t="s">
        <v>7</v>
      </c>
      <c r="K4" s="7" t="s">
        <v>10</v>
      </c>
      <c r="L4" s="13"/>
      <c r="M4" s="7" t="s">
        <v>13</v>
      </c>
      <c r="N4" s="7" t="s">
        <v>14</v>
      </c>
      <c r="O4" s="7" t="s">
        <v>15</v>
      </c>
      <c r="P4" s="7" t="s">
        <v>16</v>
      </c>
      <c r="Q4" s="7"/>
      <c r="R4" s="7" t="s">
        <v>15</v>
      </c>
      <c r="S4" s="7" t="s">
        <v>19</v>
      </c>
      <c r="T4" s="7" t="s">
        <v>34</v>
      </c>
      <c r="U4" s="7"/>
      <c r="V4" s="7"/>
      <c r="W4" s="7"/>
      <c r="X4" s="7"/>
    </row>
    <row r="5" spans="1:24" x14ac:dyDescent="0.2">
      <c r="A5" s="1" t="s">
        <v>23</v>
      </c>
      <c r="B5" s="2">
        <v>46187</v>
      </c>
      <c r="C5" s="3">
        <v>29</v>
      </c>
      <c r="D5" s="3">
        <v>245</v>
      </c>
      <c r="E5" s="3">
        <v>88</v>
      </c>
      <c r="F5" s="3" t="s">
        <v>31</v>
      </c>
      <c r="G5" s="4">
        <f>D5/E5</f>
        <v>2.7840909090909092</v>
      </c>
      <c r="H5" s="3" t="s">
        <v>31</v>
      </c>
      <c r="I5" s="4">
        <f>1000/G5</f>
        <v>359.18367346938777</v>
      </c>
      <c r="J5" s="3" t="s">
        <v>31</v>
      </c>
      <c r="K5" s="3" t="s">
        <v>31</v>
      </c>
      <c r="L5" s="5">
        <f>G5/C5</f>
        <v>9.6003134796238246E-2</v>
      </c>
      <c r="M5" s="4">
        <f>R5/U5*(100)</f>
        <v>97.686882698940508</v>
      </c>
      <c r="N5" s="4">
        <f>S5/U5*(100)</f>
        <v>120.71722125052311</v>
      </c>
      <c r="O5" s="4">
        <f>V5/W5*(100)</f>
        <v>506.91244239631334</v>
      </c>
      <c r="P5" s="4">
        <f>S5/I5</f>
        <v>626.4204545454545</v>
      </c>
      <c r="Q5" s="4">
        <f>T5/O5</f>
        <v>0.88733272727272738</v>
      </c>
      <c r="R5" s="11">
        <f>O5*I5</f>
        <v>182074.67318724724</v>
      </c>
      <c r="S5" s="3">
        <v>225000</v>
      </c>
      <c r="T5" s="3">
        <v>449.8</v>
      </c>
      <c r="U5" s="6">
        <v>186386</v>
      </c>
      <c r="V5" s="3">
        <v>33</v>
      </c>
      <c r="W5" s="3">
        <v>6.51</v>
      </c>
      <c r="X5" s="3">
        <v>0.5</v>
      </c>
    </row>
    <row r="6" spans="1:24" x14ac:dyDescent="0.2">
      <c r="A6" s="1" t="s">
        <v>24</v>
      </c>
      <c r="B6" s="2">
        <v>46187</v>
      </c>
      <c r="C6" s="3">
        <v>29</v>
      </c>
      <c r="D6" s="3">
        <v>145</v>
      </c>
      <c r="E6" s="3">
        <v>66</v>
      </c>
      <c r="F6" s="3"/>
      <c r="G6" s="4">
        <f>D6/E6</f>
        <v>2.1969696969696968</v>
      </c>
      <c r="H6" s="3"/>
      <c r="I6" s="4">
        <f t="shared" ref="I6:I9" si="0">1000/G6</f>
        <v>455.17241379310349</v>
      </c>
      <c r="J6" s="3"/>
      <c r="K6" s="3"/>
      <c r="L6" s="5">
        <f t="shared" ref="L6:L10" si="1">G6/C6</f>
        <v>7.5757575757575746E-2</v>
      </c>
      <c r="M6" s="4">
        <f t="shared" ref="M6:M10" si="2">R6/U6*(100)</f>
        <v>118.69464598289608</v>
      </c>
      <c r="N6" s="4">
        <f t="shared" ref="N6:N10" si="3">S6/U6*(100)</f>
        <v>118.68343240671584</v>
      </c>
      <c r="O6" s="4">
        <f t="shared" ref="O6:O10" si="4">V6/W6*(100)</f>
        <v>509.7451274362819</v>
      </c>
      <c r="P6" s="4">
        <f t="shared" ref="P6:P10" si="5">S6/I6</f>
        <v>509.69696969696963</v>
      </c>
      <c r="Q6" s="4">
        <f t="shared" ref="Q6:Q10" si="6">T6/O6</f>
        <v>0.90955258823529406</v>
      </c>
      <c r="R6" s="11">
        <f t="shared" ref="R6:R10" si="7">O6*I6</f>
        <v>232021.92007444557</v>
      </c>
      <c r="S6" s="3">
        <v>232000</v>
      </c>
      <c r="T6" s="3">
        <v>463.64</v>
      </c>
      <c r="U6" s="3">
        <v>195478</v>
      </c>
      <c r="V6" s="3">
        <v>34</v>
      </c>
      <c r="W6" s="3">
        <v>6.67</v>
      </c>
      <c r="X6" s="3">
        <v>0.5</v>
      </c>
    </row>
    <row r="7" spans="1:24" x14ac:dyDescent="0.2">
      <c r="A7" s="1" t="s">
        <v>25</v>
      </c>
      <c r="B7" s="2">
        <v>46187</v>
      </c>
      <c r="C7" s="3">
        <v>29</v>
      </c>
      <c r="D7" s="3">
        <v>205</v>
      </c>
      <c r="E7" s="3">
        <v>83</v>
      </c>
      <c r="F7" s="3"/>
      <c r="G7" s="4">
        <f t="shared" ref="G7:G10" si="8">D7/E7</f>
        <v>2.4698795180722892</v>
      </c>
      <c r="H7" s="3"/>
      <c r="I7" s="4">
        <f t="shared" si="0"/>
        <v>404.8780487804878</v>
      </c>
      <c r="J7" s="3"/>
      <c r="K7" s="3"/>
      <c r="L7" s="5">
        <f t="shared" si="1"/>
        <v>8.5168259243872044E-2</v>
      </c>
      <c r="M7" s="4">
        <f t="shared" si="2"/>
        <v>99.26852885681005</v>
      </c>
      <c r="N7" s="4">
        <f t="shared" si="3"/>
        <v>111.25101769396868</v>
      </c>
      <c r="O7" s="4">
        <f t="shared" si="4"/>
        <v>484.84848484848487</v>
      </c>
      <c r="P7" s="4">
        <f t="shared" si="5"/>
        <v>543.37349397590367</v>
      </c>
      <c r="Q7" s="4">
        <f t="shared" si="6"/>
        <v>0.89246437499999987</v>
      </c>
      <c r="R7" s="11">
        <f t="shared" si="7"/>
        <v>196304.50849963046</v>
      </c>
      <c r="S7" s="3">
        <v>220000</v>
      </c>
      <c r="T7" s="3">
        <v>432.71</v>
      </c>
      <c r="U7" s="3">
        <v>197751</v>
      </c>
      <c r="V7" s="3">
        <v>32</v>
      </c>
      <c r="W7" s="3">
        <v>6.6</v>
      </c>
      <c r="X7" s="3">
        <v>0.5</v>
      </c>
    </row>
    <row r="8" spans="1:24" x14ac:dyDescent="0.2">
      <c r="A8" s="1" t="s">
        <v>26</v>
      </c>
      <c r="B8" s="2">
        <v>46187</v>
      </c>
      <c r="C8" s="3">
        <v>29</v>
      </c>
      <c r="D8" s="3">
        <v>203</v>
      </c>
      <c r="E8" s="3">
        <v>83</v>
      </c>
      <c r="F8" s="3"/>
      <c r="G8" s="4">
        <f t="shared" si="8"/>
        <v>2.4457831325301207</v>
      </c>
      <c r="H8" s="3"/>
      <c r="I8" s="4">
        <f t="shared" si="0"/>
        <v>408.86699507389159</v>
      </c>
      <c r="J8" s="3"/>
      <c r="K8" s="3"/>
      <c r="L8" s="5">
        <f t="shared" si="1"/>
        <v>8.4337349397590369E-2</v>
      </c>
      <c r="M8" s="4">
        <f t="shared" si="2"/>
        <v>98.835105629364207</v>
      </c>
      <c r="N8" s="4">
        <f t="shared" si="3"/>
        <v>111.1954477550606</v>
      </c>
      <c r="O8" s="4">
        <f t="shared" si="4"/>
        <v>500</v>
      </c>
      <c r="P8" s="4">
        <f t="shared" si="5"/>
        <v>562.53012048192772</v>
      </c>
      <c r="Q8" s="4">
        <f t="shared" si="6"/>
        <v>0.91079999999999994</v>
      </c>
      <c r="R8" s="11">
        <f t="shared" si="7"/>
        <v>204433.4975369458</v>
      </c>
      <c r="S8" s="3">
        <v>230000</v>
      </c>
      <c r="T8" s="3">
        <v>455.4</v>
      </c>
      <c r="U8" s="3">
        <v>206843</v>
      </c>
      <c r="V8" s="3">
        <v>33</v>
      </c>
      <c r="W8" s="3">
        <v>6.6</v>
      </c>
      <c r="X8" s="3">
        <v>0.5</v>
      </c>
    </row>
    <row r="9" spans="1:24" x14ac:dyDescent="0.2">
      <c r="A9" s="1" t="s">
        <v>27</v>
      </c>
      <c r="B9" s="2">
        <v>46187</v>
      </c>
      <c r="C9" s="3">
        <v>29</v>
      </c>
      <c r="D9" s="3">
        <v>312</v>
      </c>
      <c r="E9" s="3">
        <v>120</v>
      </c>
      <c r="F9" s="3"/>
      <c r="G9" s="4">
        <f t="shared" si="8"/>
        <v>2.6</v>
      </c>
      <c r="H9" s="3"/>
      <c r="I9" s="4">
        <f t="shared" si="0"/>
        <v>384.61538461538458</v>
      </c>
      <c r="J9" s="3"/>
      <c r="K9" s="3"/>
      <c r="L9" s="5">
        <f t="shared" si="1"/>
        <v>8.9655172413793102E-2</v>
      </c>
      <c r="M9" s="4">
        <f t="shared" si="2"/>
        <v>97.195830314430836</v>
      </c>
      <c r="N9" s="4">
        <f t="shared" si="3"/>
        <v>116.04404572900526</v>
      </c>
      <c r="O9" s="4">
        <f t="shared" si="4"/>
        <v>396.34146341463418</v>
      </c>
      <c r="P9" s="4">
        <f t="shared" si="5"/>
        <v>473.20000000000005</v>
      </c>
      <c r="Q9" s="4">
        <f t="shared" si="6"/>
        <v>0.9065415384615384</v>
      </c>
      <c r="R9" s="11">
        <f t="shared" si="7"/>
        <v>152439.0243902439</v>
      </c>
      <c r="S9" s="3">
        <v>182000</v>
      </c>
      <c r="T9" s="3">
        <v>359.3</v>
      </c>
      <c r="U9" s="3">
        <v>156837</v>
      </c>
      <c r="V9" s="3">
        <v>26</v>
      </c>
      <c r="W9" s="3">
        <v>6.56</v>
      </c>
      <c r="X9" s="3">
        <v>0.5</v>
      </c>
    </row>
    <row r="10" spans="1:24" x14ac:dyDescent="0.2">
      <c r="A10" s="1" t="s">
        <v>28</v>
      </c>
      <c r="B10" s="2">
        <v>46187</v>
      </c>
      <c r="C10" s="3">
        <v>29</v>
      </c>
      <c r="D10" s="3">
        <v>284</v>
      </c>
      <c r="E10" s="3">
        <v>116</v>
      </c>
      <c r="F10" s="3"/>
      <c r="G10" s="5">
        <f t="shared" si="8"/>
        <v>2.4482758620689653</v>
      </c>
      <c r="H10" s="3"/>
      <c r="I10" s="4">
        <f>1000/G10</f>
        <v>408.45070422535213</v>
      </c>
      <c r="J10" s="3"/>
      <c r="K10" s="3"/>
      <c r="L10" s="5">
        <f t="shared" si="1"/>
        <v>8.4423305588585004E-2</v>
      </c>
      <c r="M10" s="4">
        <f t="shared" si="2"/>
        <v>95.868942728128985</v>
      </c>
      <c r="N10" s="4">
        <f t="shared" si="3"/>
        <v>108.43769170234782</v>
      </c>
      <c r="O10" s="4">
        <f t="shared" si="4"/>
        <v>378.78787878787881</v>
      </c>
      <c r="P10" s="4">
        <f t="shared" si="5"/>
        <v>428.44827586206895</v>
      </c>
      <c r="Q10" s="4">
        <f t="shared" si="6"/>
        <v>0.91761119999999985</v>
      </c>
      <c r="R10" s="11">
        <f t="shared" si="7"/>
        <v>154716.17584293641</v>
      </c>
      <c r="S10" s="3">
        <v>175000</v>
      </c>
      <c r="T10" s="3">
        <v>347.58</v>
      </c>
      <c r="U10" s="3">
        <v>161383</v>
      </c>
      <c r="V10" s="3">
        <v>25</v>
      </c>
      <c r="W10" s="3">
        <v>6.6</v>
      </c>
      <c r="X10" s="3">
        <v>0.5</v>
      </c>
    </row>
    <row r="11" spans="1:24" x14ac:dyDescent="0.2">
      <c r="G11" s="4">
        <f>AVERAGE(G5:G10)</f>
        <v>2.4908331864553301</v>
      </c>
      <c r="O11" s="9">
        <f>SUM(O5:O10)</f>
        <v>2776.6353968835933</v>
      </c>
      <c r="P11" s="9">
        <f>SUM(P5:P10)</f>
        <v>3143.669314562324</v>
      </c>
      <c r="T11" s="10">
        <f>SUM(T5:T10)</f>
        <v>2508.4300000000003</v>
      </c>
    </row>
    <row r="13" spans="1:24" ht="19" x14ac:dyDescent="0.25">
      <c r="E13" s="8" t="s">
        <v>35</v>
      </c>
      <c r="F13" s="8"/>
      <c r="G13" s="8"/>
      <c r="H13" s="8"/>
      <c r="I13" s="8"/>
      <c r="J13" s="8"/>
      <c r="K13" s="8"/>
    </row>
    <row r="15" spans="1:24" x14ac:dyDescent="0.2">
      <c r="A15" s="7" t="s">
        <v>0</v>
      </c>
      <c r="B15" s="7" t="s">
        <v>1</v>
      </c>
      <c r="C15" s="7" t="s">
        <v>2</v>
      </c>
      <c r="D15" s="13" t="s">
        <v>3</v>
      </c>
      <c r="E15" s="13"/>
      <c r="F15" s="13" t="s">
        <v>30</v>
      </c>
      <c r="G15" s="13"/>
      <c r="H15" s="13"/>
      <c r="I15" s="7" t="s">
        <v>8</v>
      </c>
      <c r="J15" s="13" t="s">
        <v>9</v>
      </c>
      <c r="K15" s="13"/>
      <c r="L15" s="13" t="s">
        <v>11</v>
      </c>
      <c r="M15" s="13" t="s">
        <v>12</v>
      </c>
      <c r="N15" s="13"/>
      <c r="O15" s="13" t="s">
        <v>32</v>
      </c>
      <c r="P15" s="13"/>
      <c r="Q15" s="7" t="s">
        <v>17</v>
      </c>
      <c r="R15" s="13" t="s">
        <v>18</v>
      </c>
      <c r="S15" s="13"/>
      <c r="T15" s="7" t="s">
        <v>20</v>
      </c>
      <c r="U15" s="7" t="s">
        <v>21</v>
      </c>
      <c r="V15" s="7" t="s">
        <v>22</v>
      </c>
      <c r="W15" s="7" t="s">
        <v>15</v>
      </c>
      <c r="X15" s="7" t="s">
        <v>16</v>
      </c>
    </row>
    <row r="16" spans="1:24" x14ac:dyDescent="0.2">
      <c r="A16" s="7"/>
      <c r="B16" s="7"/>
      <c r="C16" s="7"/>
      <c r="D16" s="7" t="s">
        <v>4</v>
      </c>
      <c r="E16" s="7" t="s">
        <v>5</v>
      </c>
      <c r="F16" s="7" t="s">
        <v>6</v>
      </c>
      <c r="G16" s="7" t="s">
        <v>29</v>
      </c>
      <c r="H16" s="7" t="s">
        <v>7</v>
      </c>
      <c r="I16" s="7"/>
      <c r="J16" s="7" t="s">
        <v>7</v>
      </c>
      <c r="K16" s="7" t="s">
        <v>10</v>
      </c>
      <c r="L16" s="13"/>
      <c r="M16" s="7" t="s">
        <v>13</v>
      </c>
      <c r="N16" s="7" t="s">
        <v>14</v>
      </c>
      <c r="O16" s="7" t="s">
        <v>15</v>
      </c>
      <c r="P16" s="7" t="s">
        <v>16</v>
      </c>
      <c r="Q16" s="7"/>
      <c r="R16" s="7" t="s">
        <v>15</v>
      </c>
      <c r="S16" s="7" t="s">
        <v>19</v>
      </c>
      <c r="T16" s="7" t="s">
        <v>34</v>
      </c>
      <c r="U16" s="7"/>
      <c r="V16" s="7"/>
      <c r="W16" s="7"/>
      <c r="X16" s="7"/>
    </row>
    <row r="17" spans="1:28" x14ac:dyDescent="0.2">
      <c r="A17" s="1" t="s">
        <v>23</v>
      </c>
      <c r="B17" s="2">
        <v>46194</v>
      </c>
      <c r="C17" s="3">
        <v>36</v>
      </c>
      <c r="D17" s="3">
        <v>288</v>
      </c>
      <c r="E17" s="3">
        <v>68</v>
      </c>
      <c r="F17" s="3">
        <v>2.78</v>
      </c>
      <c r="G17" s="12">
        <f>D17/E17</f>
        <v>4.2352941176470589</v>
      </c>
      <c r="H17" s="3">
        <f t="shared" ref="H17:H22" si="9">F17+(J17*7)</f>
        <v>4.5299999999999994</v>
      </c>
      <c r="I17" s="4">
        <f t="shared" ref="I17:I22" si="10">1000/G17</f>
        <v>236.11111111111111</v>
      </c>
      <c r="J17" s="3">
        <v>0.25</v>
      </c>
      <c r="K17" s="4">
        <f t="shared" ref="K17:K22" si="11">(G17-F17)/7</f>
        <v>0.20789915966386557</v>
      </c>
      <c r="L17" s="5">
        <f t="shared" ref="L17:L22" si="12">G17/C17</f>
        <v>0.11764705882352941</v>
      </c>
      <c r="M17" s="4">
        <f t="shared" ref="M17:M22" si="13">R17/U17*(100)</f>
        <v>93.29845250313204</v>
      </c>
      <c r="N17" s="4">
        <f t="shared" ref="N17:N22" si="14">S17/U17*(100)</f>
        <v>121.25374223385876</v>
      </c>
      <c r="O17" s="4">
        <f t="shared" ref="O17:O22" si="15">V17/W17*(100)</f>
        <v>736.49754500818324</v>
      </c>
      <c r="P17" s="4">
        <f t="shared" ref="P17:P22" si="16">S17/I17</f>
        <v>957.17647058823525</v>
      </c>
      <c r="Q17" s="4">
        <f t="shared" ref="Q17:Q22" si="17">T17/O17</f>
        <v>0.98103517777777782</v>
      </c>
      <c r="R17" s="11">
        <f t="shared" ref="R17:R22" si="18">O17*I17</f>
        <v>173895.2536824877</v>
      </c>
      <c r="S17" s="3">
        <v>226000</v>
      </c>
      <c r="T17" s="3">
        <v>722.53</v>
      </c>
      <c r="U17" s="6">
        <v>186386</v>
      </c>
      <c r="V17" s="3">
        <v>45</v>
      </c>
      <c r="W17" s="3">
        <v>6.11</v>
      </c>
      <c r="X17" s="3">
        <v>0.52</v>
      </c>
      <c r="AB17">
        <f t="shared" ref="AB17:AB22" si="19">1000/H17</f>
        <v>220.75055187637972</v>
      </c>
    </row>
    <row r="18" spans="1:28" x14ac:dyDescent="0.2">
      <c r="A18" s="1" t="s">
        <v>24</v>
      </c>
      <c r="B18" s="2">
        <v>46194</v>
      </c>
      <c r="C18" s="3">
        <v>36</v>
      </c>
      <c r="D18" s="3">
        <v>168</v>
      </c>
      <c r="E18" s="3">
        <v>42</v>
      </c>
      <c r="F18" s="3">
        <v>2.2000000000000002</v>
      </c>
      <c r="G18" s="12">
        <f t="shared" ref="G18:G22" si="20">D18/E18</f>
        <v>4</v>
      </c>
      <c r="H18" s="3">
        <f t="shared" si="9"/>
        <v>3.95</v>
      </c>
      <c r="I18" s="4">
        <f t="shared" si="10"/>
        <v>250</v>
      </c>
      <c r="J18" s="3">
        <v>0.25</v>
      </c>
      <c r="K18" s="4">
        <f t="shared" si="11"/>
        <v>0.25714285714285712</v>
      </c>
      <c r="L18" s="5">
        <f t="shared" si="12"/>
        <v>0.1111111111111111</v>
      </c>
      <c r="M18" s="4">
        <f t="shared" si="13"/>
        <v>95.348702891999125</v>
      </c>
      <c r="N18" s="4">
        <f t="shared" si="14"/>
        <v>118.68343240671584</v>
      </c>
      <c r="O18" s="4">
        <f t="shared" si="15"/>
        <v>745.54294975688822</v>
      </c>
      <c r="P18" s="4">
        <f t="shared" si="16"/>
        <v>928</v>
      </c>
      <c r="Q18" s="4">
        <f t="shared" si="17"/>
        <v>1.0016458478260868</v>
      </c>
      <c r="R18" s="11">
        <f t="shared" si="18"/>
        <v>186385.73743922205</v>
      </c>
      <c r="S18" s="3">
        <v>232000</v>
      </c>
      <c r="T18" s="3">
        <v>746.77</v>
      </c>
      <c r="U18" s="3">
        <v>195478</v>
      </c>
      <c r="V18" s="3">
        <v>46</v>
      </c>
      <c r="W18" s="3">
        <v>6.17</v>
      </c>
      <c r="X18" s="3">
        <v>0.52</v>
      </c>
      <c r="AB18">
        <f t="shared" si="19"/>
        <v>253.1645569620253</v>
      </c>
    </row>
    <row r="19" spans="1:28" x14ac:dyDescent="0.2">
      <c r="A19" s="1" t="s">
        <v>25</v>
      </c>
      <c r="B19" s="2">
        <v>46194</v>
      </c>
      <c r="C19" s="3">
        <v>36</v>
      </c>
      <c r="D19" s="3">
        <v>740</v>
      </c>
      <c r="E19" s="3">
        <v>190</v>
      </c>
      <c r="F19" s="3">
        <v>2.4700000000000002</v>
      </c>
      <c r="G19" s="12">
        <f t="shared" si="20"/>
        <v>3.8947368421052633</v>
      </c>
      <c r="H19" s="3">
        <f t="shared" si="9"/>
        <v>4.2200000000000006</v>
      </c>
      <c r="I19" s="4">
        <f t="shared" si="10"/>
        <v>256.75675675675677</v>
      </c>
      <c r="J19" s="3">
        <v>0.25</v>
      </c>
      <c r="K19" s="4">
        <f t="shared" si="11"/>
        <v>0.20353383458646615</v>
      </c>
      <c r="L19" s="5">
        <f t="shared" si="12"/>
        <v>0.10818713450292398</v>
      </c>
      <c r="M19" s="4">
        <f t="shared" si="13"/>
        <v>96.487349279896463</v>
      </c>
      <c r="N19" s="4">
        <f t="shared" si="14"/>
        <v>116.30788213460362</v>
      </c>
      <c r="O19" s="4">
        <f t="shared" si="15"/>
        <v>743.13408723747978</v>
      </c>
      <c r="P19" s="4">
        <f t="shared" si="16"/>
        <v>895.78947368421052</v>
      </c>
      <c r="Q19" s="4">
        <f t="shared" si="17"/>
        <v>0.95897902173913041</v>
      </c>
      <c r="R19" s="11">
        <f t="shared" si="18"/>
        <v>190804.69807448806</v>
      </c>
      <c r="S19" s="3">
        <v>230000</v>
      </c>
      <c r="T19" s="3">
        <v>712.65</v>
      </c>
      <c r="U19" s="3">
        <v>197751</v>
      </c>
      <c r="V19" s="3">
        <v>46</v>
      </c>
      <c r="W19" s="3">
        <v>6.19</v>
      </c>
      <c r="X19" s="3">
        <v>0.52</v>
      </c>
      <c r="AB19">
        <f t="shared" si="19"/>
        <v>236.96682464454972</v>
      </c>
    </row>
    <row r="20" spans="1:28" x14ac:dyDescent="0.2">
      <c r="A20" s="1" t="s">
        <v>26</v>
      </c>
      <c r="B20" s="2">
        <v>46194</v>
      </c>
      <c r="C20" s="3">
        <v>36</v>
      </c>
      <c r="D20" s="3">
        <v>1033</v>
      </c>
      <c r="E20" s="3">
        <v>273</v>
      </c>
      <c r="F20" s="3">
        <v>2.4500000000000002</v>
      </c>
      <c r="G20" s="12">
        <f t="shared" si="20"/>
        <v>3.7838827838827838</v>
      </c>
      <c r="H20" s="3">
        <f t="shared" si="9"/>
        <v>4.2</v>
      </c>
      <c r="I20" s="4">
        <f t="shared" si="10"/>
        <v>264.2787996127783</v>
      </c>
      <c r="J20" s="3">
        <v>0.25</v>
      </c>
      <c r="K20" s="4">
        <f t="shared" si="11"/>
        <v>0.19055468341182621</v>
      </c>
      <c r="L20" s="5">
        <f t="shared" si="12"/>
        <v>0.1051078551078551</v>
      </c>
      <c r="M20" s="4">
        <f t="shared" si="13"/>
        <v>96.544818564958945</v>
      </c>
      <c r="N20" s="4">
        <f t="shared" si="14"/>
        <v>113.61274009756193</v>
      </c>
      <c r="O20" s="4">
        <f t="shared" si="15"/>
        <v>755.62700964630233</v>
      </c>
      <c r="P20" s="4">
        <f t="shared" si="16"/>
        <v>889.2124542124543</v>
      </c>
      <c r="Q20" s="4">
        <f t="shared" si="17"/>
        <v>0.98122485106382973</v>
      </c>
      <c r="R20" s="11">
        <f t="shared" si="18"/>
        <v>199696.19906431803</v>
      </c>
      <c r="S20" s="3">
        <v>235000</v>
      </c>
      <c r="T20" s="3">
        <v>741.44</v>
      </c>
      <c r="U20" s="3">
        <v>206843</v>
      </c>
      <c r="V20" s="3">
        <v>47</v>
      </c>
      <c r="W20" s="3">
        <v>6.22</v>
      </c>
      <c r="X20" s="3">
        <v>0.52</v>
      </c>
      <c r="AB20">
        <f t="shared" si="19"/>
        <v>238.09523809523807</v>
      </c>
    </row>
    <row r="21" spans="1:28" x14ac:dyDescent="0.2">
      <c r="A21" s="1" t="s">
        <v>27</v>
      </c>
      <c r="B21" s="2">
        <v>46194</v>
      </c>
      <c r="C21" s="3">
        <v>36</v>
      </c>
      <c r="D21" s="3">
        <v>505</v>
      </c>
      <c r="E21" s="3">
        <v>123</v>
      </c>
      <c r="F21" s="3">
        <v>2.6</v>
      </c>
      <c r="G21" s="12">
        <f t="shared" si="20"/>
        <v>4.1056910569105689</v>
      </c>
      <c r="H21" s="3">
        <f t="shared" si="9"/>
        <v>4.3499999999999996</v>
      </c>
      <c r="I21" s="4">
        <f t="shared" si="10"/>
        <v>243.56435643564359</v>
      </c>
      <c r="J21" s="3">
        <v>0.25</v>
      </c>
      <c r="K21" s="4">
        <f t="shared" si="11"/>
        <v>0.21509872241579556</v>
      </c>
      <c r="L21" s="5">
        <f t="shared" si="12"/>
        <v>0.11404697380307136</v>
      </c>
      <c r="M21" s="4">
        <f t="shared" si="13"/>
        <v>91.054064446992186</v>
      </c>
      <c r="N21" s="4">
        <f t="shared" si="14"/>
        <v>116.04404572900526</v>
      </c>
      <c r="O21" s="4">
        <f t="shared" si="15"/>
        <v>586.31921824104234</v>
      </c>
      <c r="P21" s="4">
        <f t="shared" si="16"/>
        <v>747.23577235772348</v>
      </c>
      <c r="Q21" s="4">
        <f t="shared" si="17"/>
        <v>0.99162705555555553</v>
      </c>
      <c r="R21" s="11">
        <f t="shared" si="18"/>
        <v>142806.46305672915</v>
      </c>
      <c r="S21" s="3">
        <v>182000</v>
      </c>
      <c r="T21" s="3">
        <v>581.41</v>
      </c>
      <c r="U21" s="3">
        <v>156837</v>
      </c>
      <c r="V21" s="3">
        <v>36</v>
      </c>
      <c r="W21" s="3">
        <v>6.14</v>
      </c>
      <c r="X21" s="3">
        <v>0.52</v>
      </c>
      <c r="AB21">
        <f t="shared" si="19"/>
        <v>229.88505747126439</v>
      </c>
    </row>
    <row r="22" spans="1:28" x14ac:dyDescent="0.2">
      <c r="A22" s="1" t="s">
        <v>28</v>
      </c>
      <c r="B22" s="2">
        <v>46194</v>
      </c>
      <c r="C22" s="3">
        <v>36</v>
      </c>
      <c r="D22" s="3">
        <v>467</v>
      </c>
      <c r="E22" s="3">
        <v>117</v>
      </c>
      <c r="F22" s="3">
        <v>2.448</v>
      </c>
      <c r="G22" s="12">
        <f t="shared" si="20"/>
        <v>3.9914529914529915</v>
      </c>
      <c r="H22" s="3">
        <f t="shared" si="9"/>
        <v>4.1980000000000004</v>
      </c>
      <c r="I22" s="4">
        <f t="shared" si="10"/>
        <v>250.53533190578159</v>
      </c>
      <c r="J22" s="3">
        <v>0.25</v>
      </c>
      <c r="K22" s="4">
        <f t="shared" si="11"/>
        <v>0.22049328449328451</v>
      </c>
      <c r="L22" s="5">
        <f t="shared" si="12"/>
        <v>0.11087369420702754</v>
      </c>
      <c r="M22" s="4">
        <f t="shared" si="13"/>
        <v>90.432642713157946</v>
      </c>
      <c r="N22" s="4">
        <f t="shared" si="14"/>
        <v>111.53591146527206</v>
      </c>
      <c r="O22" s="4">
        <f t="shared" si="15"/>
        <v>582.52427184466023</v>
      </c>
      <c r="P22" s="4">
        <f t="shared" si="16"/>
        <v>718.46153846153845</v>
      </c>
      <c r="Q22" s="4">
        <f t="shared" si="17"/>
        <v>0.97247449999999991</v>
      </c>
      <c r="R22" s="11">
        <f t="shared" si="18"/>
        <v>145942.91178977568</v>
      </c>
      <c r="S22" s="3">
        <v>180000</v>
      </c>
      <c r="T22" s="3">
        <v>566.49</v>
      </c>
      <c r="U22" s="3">
        <v>161383</v>
      </c>
      <c r="V22" s="3">
        <v>36</v>
      </c>
      <c r="W22" s="3">
        <v>6.18</v>
      </c>
      <c r="X22" s="3">
        <v>0.52</v>
      </c>
      <c r="AB22">
        <f t="shared" si="19"/>
        <v>238.20867079561694</v>
      </c>
    </row>
    <row r="23" spans="1:28" x14ac:dyDescent="0.2">
      <c r="G23" s="4">
        <f>AVERAGE(G17:G22)</f>
        <v>4.0018429653331111</v>
      </c>
      <c r="O23" s="9">
        <f>SUM(O17:O22)</f>
        <v>4149.6450817345558</v>
      </c>
      <c r="P23" s="9">
        <f>SUM(P17:P22)</f>
        <v>5135.8757093041613</v>
      </c>
      <c r="T23" s="10">
        <f>SUM(T17:T22)</f>
        <v>4071.29</v>
      </c>
    </row>
    <row r="25" spans="1:28" ht="19" x14ac:dyDescent="0.25">
      <c r="E25" s="8" t="s">
        <v>36</v>
      </c>
      <c r="F25" s="8"/>
      <c r="G25" s="8"/>
      <c r="H25" s="8"/>
      <c r="I25" s="8"/>
      <c r="J25" s="8"/>
      <c r="K25" s="8"/>
    </row>
    <row r="27" spans="1:28" x14ac:dyDescent="0.2">
      <c r="A27" s="7" t="s">
        <v>0</v>
      </c>
      <c r="B27" s="7" t="s">
        <v>1</v>
      </c>
      <c r="C27" s="7" t="s">
        <v>2</v>
      </c>
      <c r="D27" s="13" t="s">
        <v>3</v>
      </c>
      <c r="E27" s="13"/>
      <c r="F27" s="13" t="s">
        <v>30</v>
      </c>
      <c r="G27" s="13"/>
      <c r="H27" s="13"/>
      <c r="I27" s="7" t="s">
        <v>8</v>
      </c>
      <c r="J27" s="13" t="s">
        <v>9</v>
      </c>
      <c r="K27" s="13"/>
      <c r="L27" s="13" t="s">
        <v>11</v>
      </c>
      <c r="M27" s="13" t="s">
        <v>12</v>
      </c>
      <c r="N27" s="13"/>
      <c r="O27" s="13" t="s">
        <v>32</v>
      </c>
      <c r="P27" s="13"/>
      <c r="Q27" s="7" t="s">
        <v>17</v>
      </c>
      <c r="R27" s="13" t="s">
        <v>18</v>
      </c>
      <c r="S27" s="13"/>
      <c r="T27" s="7" t="s">
        <v>20</v>
      </c>
      <c r="U27" s="7" t="s">
        <v>21</v>
      </c>
      <c r="V27" s="7" t="s">
        <v>22</v>
      </c>
      <c r="W27" s="7" t="s">
        <v>15</v>
      </c>
      <c r="X27" s="7" t="s">
        <v>16</v>
      </c>
    </row>
    <row r="28" spans="1:28" x14ac:dyDescent="0.2">
      <c r="A28" s="7"/>
      <c r="B28" s="7"/>
      <c r="C28" s="7"/>
      <c r="D28" s="7" t="s">
        <v>4</v>
      </c>
      <c r="E28" s="7" t="s">
        <v>5</v>
      </c>
      <c r="F28" s="7" t="s">
        <v>6</v>
      </c>
      <c r="G28" s="7" t="s">
        <v>29</v>
      </c>
      <c r="H28" s="7" t="s">
        <v>7</v>
      </c>
      <c r="I28" s="7"/>
      <c r="J28" s="7" t="s">
        <v>7</v>
      </c>
      <c r="K28" s="7" t="s">
        <v>10</v>
      </c>
      <c r="L28" s="13"/>
      <c r="M28" s="7" t="s">
        <v>13</v>
      </c>
      <c r="N28" s="7" t="s">
        <v>14</v>
      </c>
      <c r="O28" s="7" t="s">
        <v>15</v>
      </c>
      <c r="P28" s="7" t="s">
        <v>16</v>
      </c>
      <c r="Q28" s="7"/>
      <c r="R28" s="7" t="s">
        <v>15</v>
      </c>
      <c r="S28" s="7" t="s">
        <v>19</v>
      </c>
      <c r="T28" s="7" t="s">
        <v>34</v>
      </c>
      <c r="U28" s="7"/>
      <c r="V28" s="7"/>
      <c r="W28" s="7"/>
      <c r="X28" s="7"/>
    </row>
    <row r="29" spans="1:28" x14ac:dyDescent="0.2">
      <c r="A29" s="1" t="s">
        <v>23</v>
      </c>
      <c r="B29" s="2">
        <v>46197</v>
      </c>
      <c r="C29" s="3">
        <v>39</v>
      </c>
      <c r="D29" s="3">
        <v>884</v>
      </c>
      <c r="E29" s="3">
        <v>185</v>
      </c>
      <c r="F29" s="3">
        <v>2.78</v>
      </c>
      <c r="G29" s="12">
        <f>D29/E29</f>
        <v>4.7783783783783784</v>
      </c>
      <c r="H29" s="3">
        <f>F29+(J29*10)</f>
        <v>5.2799999999999994</v>
      </c>
      <c r="I29" s="4">
        <f t="shared" ref="I29:I34" si="21">1000/G29</f>
        <v>209.27601809954751</v>
      </c>
      <c r="J29" s="3">
        <v>0.25</v>
      </c>
      <c r="K29" s="4">
        <f>(G29-F29)/10</f>
        <v>0.19983783783783787</v>
      </c>
      <c r="L29" s="5">
        <f t="shared" ref="L29:L34" si="22">G29/C29</f>
        <v>0.12252252252252252</v>
      </c>
      <c r="M29" s="4">
        <f t="shared" ref="M29:M34" si="23">R29/U29*(100)</f>
        <v>86.951596816324098</v>
      </c>
      <c r="N29" s="4">
        <f t="shared" ref="N29:N34" si="24">S29/U29*(100)</f>
        <v>121.25374223385876</v>
      </c>
      <c r="O29" s="4">
        <f t="shared" ref="O29:O34" si="25">V29/W29*(100)</f>
        <v>774.41077441077437</v>
      </c>
      <c r="P29" s="4">
        <f t="shared" ref="P29:P34" si="26">S29/I29</f>
        <v>1079.9135135135134</v>
      </c>
      <c r="Q29" s="4">
        <f t="shared" ref="Q29:Q34" si="27">T29/O29</f>
        <v>1.0490466130434783</v>
      </c>
      <c r="R29" s="11">
        <f t="shared" ref="R29:R34" si="28">O29*I29</f>
        <v>162065.60324207382</v>
      </c>
      <c r="S29" s="3">
        <v>226000</v>
      </c>
      <c r="T29" s="3">
        <v>812.39300000000003</v>
      </c>
      <c r="U29" s="6">
        <v>186386</v>
      </c>
      <c r="V29" s="3">
        <v>46</v>
      </c>
      <c r="W29" s="3">
        <v>5.94</v>
      </c>
      <c r="X29" s="5">
        <v>0.53600000000000003</v>
      </c>
    </row>
    <row r="30" spans="1:28" x14ac:dyDescent="0.2">
      <c r="A30" s="1" t="s">
        <v>24</v>
      </c>
      <c r="B30" s="2">
        <v>46197</v>
      </c>
      <c r="C30" s="3">
        <v>39</v>
      </c>
      <c r="D30" s="3">
        <v>1115</v>
      </c>
      <c r="E30" s="3">
        <v>274</v>
      </c>
      <c r="F30" s="3">
        <v>2.2000000000000002</v>
      </c>
      <c r="G30" s="12">
        <f t="shared" ref="G30:G34" si="29">D30/E30</f>
        <v>4.0693430656934311</v>
      </c>
      <c r="H30" s="3">
        <f t="shared" ref="H30:H34" si="30">F30+(J30*10)</f>
        <v>4.7</v>
      </c>
      <c r="I30" s="4">
        <f t="shared" si="21"/>
        <v>245.73991031390133</v>
      </c>
      <c r="J30" s="3">
        <v>0.25</v>
      </c>
      <c r="K30" s="4">
        <f t="shared" ref="K30:K34" si="31">(G30-F30)/10</f>
        <v>0.18693430656934309</v>
      </c>
      <c r="L30" s="5">
        <f t="shared" si="22"/>
        <v>0.10434212988957516</v>
      </c>
      <c r="M30" s="4">
        <f t="shared" si="23"/>
        <v>98.276724818731864</v>
      </c>
      <c r="N30" s="4">
        <f t="shared" si="24"/>
        <v>118.68343240671584</v>
      </c>
      <c r="O30" s="4">
        <f t="shared" si="25"/>
        <v>781.75895765472319</v>
      </c>
      <c r="P30" s="4">
        <f t="shared" si="26"/>
        <v>944.08759124087601</v>
      </c>
      <c r="Q30" s="4">
        <f t="shared" si="27"/>
        <v>1.0747686249999999</v>
      </c>
      <c r="R30" s="11">
        <f t="shared" si="28"/>
        <v>192109.37614116067</v>
      </c>
      <c r="S30" s="3">
        <v>232000</v>
      </c>
      <c r="T30" s="3">
        <v>840.21</v>
      </c>
      <c r="U30" s="6">
        <v>195478</v>
      </c>
      <c r="V30" s="3">
        <v>48</v>
      </c>
      <c r="W30" s="3">
        <v>6.14</v>
      </c>
      <c r="X30" s="5">
        <v>0.53600000000000003</v>
      </c>
    </row>
    <row r="31" spans="1:28" x14ac:dyDescent="0.2">
      <c r="A31" s="1" t="s">
        <v>25</v>
      </c>
      <c r="B31" s="2">
        <v>46197</v>
      </c>
      <c r="C31" s="3">
        <v>39</v>
      </c>
      <c r="D31" s="3">
        <v>1118</v>
      </c>
      <c r="E31" s="3">
        <v>255</v>
      </c>
      <c r="F31" s="3">
        <v>2.4700000000000002</v>
      </c>
      <c r="G31" s="12">
        <f t="shared" si="29"/>
        <v>4.3843137254901965</v>
      </c>
      <c r="H31" s="3">
        <f t="shared" si="30"/>
        <v>4.9700000000000006</v>
      </c>
      <c r="I31" s="4">
        <f t="shared" si="21"/>
        <v>228.08586762075132</v>
      </c>
      <c r="J31" s="3">
        <v>0.25</v>
      </c>
      <c r="K31" s="4">
        <f t="shared" si="31"/>
        <v>0.19143137254901962</v>
      </c>
      <c r="L31" s="5">
        <f t="shared" si="22"/>
        <v>0.11241830065359479</v>
      </c>
      <c r="M31" s="4">
        <f t="shared" si="23"/>
        <v>91.207853447070491</v>
      </c>
      <c r="N31" s="4">
        <f t="shared" si="24"/>
        <v>116.30788213460362</v>
      </c>
      <c r="O31" s="4">
        <f t="shared" si="25"/>
        <v>790.77429983525531</v>
      </c>
      <c r="P31" s="4">
        <f t="shared" si="26"/>
        <v>1008.3921568627452</v>
      </c>
      <c r="Q31" s="4">
        <f t="shared" si="27"/>
        <v>1.0193679791666668</v>
      </c>
      <c r="R31" s="11">
        <f t="shared" si="28"/>
        <v>180364.44227011636</v>
      </c>
      <c r="S31" s="3">
        <v>230000</v>
      </c>
      <c r="T31" s="3">
        <v>806.09</v>
      </c>
      <c r="U31" s="6">
        <v>197751</v>
      </c>
      <c r="V31" s="3">
        <v>48</v>
      </c>
      <c r="W31" s="3">
        <v>6.07</v>
      </c>
      <c r="X31" s="5">
        <v>0.53600000000000003</v>
      </c>
    </row>
    <row r="32" spans="1:28" x14ac:dyDescent="0.2">
      <c r="A32" s="1" t="s">
        <v>26</v>
      </c>
      <c r="B32" s="2">
        <v>46197</v>
      </c>
      <c r="C32" s="3">
        <v>39</v>
      </c>
      <c r="D32" s="3">
        <v>1004</v>
      </c>
      <c r="E32" s="3">
        <v>236</v>
      </c>
      <c r="F32" s="3">
        <v>2.4500000000000002</v>
      </c>
      <c r="G32" s="12">
        <f t="shared" si="29"/>
        <v>4.2542372881355934</v>
      </c>
      <c r="H32" s="3">
        <f t="shared" si="30"/>
        <v>4.95</v>
      </c>
      <c r="I32" s="4">
        <f t="shared" si="21"/>
        <v>235.0597609561753</v>
      </c>
      <c r="J32" s="3">
        <v>0.25</v>
      </c>
      <c r="K32" s="4">
        <f t="shared" si="31"/>
        <v>0.18042372881355934</v>
      </c>
      <c r="L32" s="5">
        <f t="shared" si="22"/>
        <v>0.10908300738809214</v>
      </c>
      <c r="M32" s="4">
        <f t="shared" si="23"/>
        <v>91.285901145206822</v>
      </c>
      <c r="N32" s="4">
        <f t="shared" si="24"/>
        <v>113.61274009756193</v>
      </c>
      <c r="O32" s="4">
        <f t="shared" si="25"/>
        <v>803.27868852459017</v>
      </c>
      <c r="P32" s="4">
        <f t="shared" si="26"/>
        <v>999.74576271186447</v>
      </c>
      <c r="Q32" s="4">
        <f t="shared" si="27"/>
        <v>1.0418177551020409</v>
      </c>
      <c r="R32" s="11">
        <f t="shared" si="28"/>
        <v>188818.49650578015</v>
      </c>
      <c r="S32" s="3">
        <v>235000</v>
      </c>
      <c r="T32" s="3">
        <v>836.87</v>
      </c>
      <c r="U32" s="6">
        <v>206843</v>
      </c>
      <c r="V32" s="3">
        <v>49</v>
      </c>
      <c r="W32" s="3">
        <v>6.1</v>
      </c>
      <c r="X32" s="5">
        <v>0.53600000000000003</v>
      </c>
    </row>
    <row r="33" spans="1:24" x14ac:dyDescent="0.2">
      <c r="A33" s="1" t="s">
        <v>27</v>
      </c>
      <c r="B33" s="2">
        <v>46197</v>
      </c>
      <c r="C33" s="3">
        <v>39</v>
      </c>
      <c r="D33" s="3">
        <v>804</v>
      </c>
      <c r="E33" s="3">
        <v>179</v>
      </c>
      <c r="F33" s="3">
        <v>2.6</v>
      </c>
      <c r="G33" s="12">
        <f t="shared" si="29"/>
        <v>4.4916201117318435</v>
      </c>
      <c r="H33" s="3">
        <f t="shared" si="30"/>
        <v>5.0999999999999996</v>
      </c>
      <c r="I33" s="4">
        <f t="shared" si="21"/>
        <v>222.63681592039802</v>
      </c>
      <c r="J33" s="3">
        <v>0.25</v>
      </c>
      <c r="K33" s="4">
        <f t="shared" si="31"/>
        <v>0.18916201117318435</v>
      </c>
      <c r="L33" s="5">
        <f t="shared" si="22"/>
        <v>0.11516974645466266</v>
      </c>
      <c r="M33" s="4">
        <f t="shared" si="23"/>
        <v>89.308976803891483</v>
      </c>
      <c r="N33" s="4">
        <f t="shared" si="24"/>
        <v>116.04404572900526</v>
      </c>
      <c r="O33" s="4">
        <f t="shared" si="25"/>
        <v>629.13907284768209</v>
      </c>
      <c r="P33" s="4">
        <f t="shared" si="26"/>
        <v>817.47486033519544</v>
      </c>
      <c r="Q33" s="4">
        <f t="shared" si="27"/>
        <v>1.0410575789473686</v>
      </c>
      <c r="R33" s="11">
        <f t="shared" si="28"/>
        <v>140069.51994991928</v>
      </c>
      <c r="S33" s="3">
        <v>182000</v>
      </c>
      <c r="T33" s="3">
        <v>654.97</v>
      </c>
      <c r="U33" s="6">
        <v>156837</v>
      </c>
      <c r="V33" s="3">
        <v>38</v>
      </c>
      <c r="W33" s="3">
        <v>6.04</v>
      </c>
      <c r="X33" s="5">
        <v>0.53600000000000003</v>
      </c>
    </row>
    <row r="34" spans="1:24" x14ac:dyDescent="0.2">
      <c r="A34" s="1" t="s">
        <v>28</v>
      </c>
      <c r="B34" s="2">
        <v>46197</v>
      </c>
      <c r="C34" s="3">
        <v>39</v>
      </c>
      <c r="D34" s="3">
        <v>884</v>
      </c>
      <c r="E34" s="3">
        <v>199</v>
      </c>
      <c r="F34" s="3">
        <v>2.448</v>
      </c>
      <c r="G34" s="12">
        <f t="shared" si="29"/>
        <v>4.442211055276382</v>
      </c>
      <c r="H34" s="3">
        <f t="shared" si="30"/>
        <v>4.9480000000000004</v>
      </c>
      <c r="I34" s="4">
        <f t="shared" si="21"/>
        <v>225.11312217194569</v>
      </c>
      <c r="J34" s="3">
        <v>0.25</v>
      </c>
      <c r="K34" s="4">
        <f t="shared" si="31"/>
        <v>0.1994211055276382</v>
      </c>
      <c r="L34" s="5">
        <f t="shared" si="22"/>
        <v>0.11390284757118928</v>
      </c>
      <c r="M34" s="4">
        <f t="shared" si="23"/>
        <v>87.613544172742166</v>
      </c>
      <c r="N34" s="4">
        <f t="shared" si="24"/>
        <v>111.53591146527206</v>
      </c>
      <c r="O34" s="4">
        <f t="shared" si="25"/>
        <v>628.09917355371908</v>
      </c>
      <c r="P34" s="4">
        <f t="shared" si="26"/>
        <v>799.59798994974881</v>
      </c>
      <c r="Q34" s="4">
        <f t="shared" si="27"/>
        <v>1.0190317499999999</v>
      </c>
      <c r="R34" s="11">
        <f t="shared" si="28"/>
        <v>141393.36599229649</v>
      </c>
      <c r="S34" s="3">
        <v>180000</v>
      </c>
      <c r="T34" s="3">
        <v>640.053</v>
      </c>
      <c r="U34" s="6">
        <v>161383</v>
      </c>
      <c r="V34" s="3">
        <v>38</v>
      </c>
      <c r="W34" s="3">
        <v>6.05</v>
      </c>
      <c r="X34" s="5">
        <v>0.53600000000000003</v>
      </c>
    </row>
    <row r="35" spans="1:24" x14ac:dyDescent="0.2">
      <c r="G35" s="4">
        <f>AVERAGE(G29:G34)</f>
        <v>4.4033506041176373</v>
      </c>
      <c r="O35" s="9">
        <f>SUM(O29:O34)</f>
        <v>4407.460966826744</v>
      </c>
      <c r="P35" s="9">
        <f>SUM(P29:P34)</f>
        <v>5649.2118746139431</v>
      </c>
      <c r="T35" s="10">
        <f>SUM(T29:T34)</f>
        <v>4590.5860000000002</v>
      </c>
    </row>
    <row r="37" spans="1:24" ht="19" x14ac:dyDescent="0.25">
      <c r="E37" s="8" t="s">
        <v>37</v>
      </c>
      <c r="F37" s="8"/>
      <c r="G37" s="8"/>
      <c r="H37" s="8"/>
      <c r="I37" s="8"/>
      <c r="J37" s="8"/>
      <c r="K37" s="8"/>
    </row>
    <row r="38" spans="1:24" x14ac:dyDescent="0.2">
      <c r="A38" s="7" t="s">
        <v>0</v>
      </c>
      <c r="B38" s="7" t="s">
        <v>1</v>
      </c>
      <c r="C38" s="7" t="s">
        <v>2</v>
      </c>
      <c r="D38" s="13" t="s">
        <v>3</v>
      </c>
      <c r="E38" s="13"/>
      <c r="F38" s="13" t="s">
        <v>30</v>
      </c>
      <c r="G38" s="13"/>
      <c r="H38" s="13"/>
      <c r="I38" s="7" t="s">
        <v>8</v>
      </c>
      <c r="J38" s="13" t="s">
        <v>9</v>
      </c>
      <c r="K38" s="13"/>
      <c r="L38" s="13" t="s">
        <v>11</v>
      </c>
      <c r="M38" s="13" t="s">
        <v>12</v>
      </c>
      <c r="N38" s="13"/>
      <c r="O38" s="13" t="s">
        <v>32</v>
      </c>
      <c r="P38" s="13"/>
      <c r="Q38" s="7" t="s">
        <v>17</v>
      </c>
      <c r="R38" s="13" t="s">
        <v>18</v>
      </c>
      <c r="S38" s="13"/>
      <c r="T38" s="7" t="s">
        <v>20</v>
      </c>
      <c r="U38" s="7" t="s">
        <v>21</v>
      </c>
      <c r="V38" s="7" t="s">
        <v>22</v>
      </c>
      <c r="W38" s="7" t="s">
        <v>15</v>
      </c>
      <c r="X38" s="7" t="s">
        <v>16</v>
      </c>
    </row>
    <row r="39" spans="1:24" x14ac:dyDescent="0.2">
      <c r="A39" s="7"/>
      <c r="B39" s="7"/>
      <c r="C39" s="7"/>
      <c r="D39" s="7" t="s">
        <v>4</v>
      </c>
      <c r="E39" s="7" t="s">
        <v>5</v>
      </c>
      <c r="F39" s="7" t="s">
        <v>6</v>
      </c>
      <c r="G39" s="7" t="s">
        <v>29</v>
      </c>
      <c r="H39" s="7" t="s">
        <v>7</v>
      </c>
      <c r="I39" s="7"/>
      <c r="J39" s="7" t="s">
        <v>7</v>
      </c>
      <c r="K39" s="7" t="s">
        <v>10</v>
      </c>
      <c r="L39" s="13"/>
      <c r="M39" s="7" t="s">
        <v>13</v>
      </c>
      <c r="N39" s="7" t="s">
        <v>14</v>
      </c>
      <c r="O39" s="7" t="s">
        <v>15</v>
      </c>
      <c r="P39" s="7" t="s">
        <v>16</v>
      </c>
      <c r="Q39" s="7"/>
      <c r="R39" s="7" t="s">
        <v>15</v>
      </c>
      <c r="S39" s="7" t="s">
        <v>19</v>
      </c>
      <c r="T39" s="7" t="s">
        <v>34</v>
      </c>
      <c r="U39" s="7"/>
      <c r="V39" s="7"/>
      <c r="W39" s="7"/>
      <c r="X39" s="7"/>
    </row>
    <row r="40" spans="1:24" x14ac:dyDescent="0.2">
      <c r="A40" s="1" t="s">
        <v>23</v>
      </c>
      <c r="B40" s="2">
        <v>46201</v>
      </c>
      <c r="C40" s="3">
        <v>43</v>
      </c>
      <c r="D40" s="3">
        <v>802</v>
      </c>
      <c r="E40" s="3">
        <v>135</v>
      </c>
      <c r="F40" s="4">
        <v>4.2352941176470589</v>
      </c>
      <c r="G40" s="12">
        <f t="shared" ref="G40:G45" si="32">D40/E40</f>
        <v>5.9407407407407407</v>
      </c>
      <c r="H40" s="4">
        <f t="shared" ref="H40:H45" si="33">F40+(J40*7)</f>
        <v>5.9852941176470589</v>
      </c>
      <c r="I40" s="4">
        <f t="shared" ref="I40:I45" si="34">1000/G40</f>
        <v>168.32917705735662</v>
      </c>
      <c r="J40" s="3">
        <v>0.25</v>
      </c>
      <c r="K40" s="4">
        <f t="shared" ref="K40:K45" si="35">(G40-F40)/7</f>
        <v>0.24363523187052596</v>
      </c>
      <c r="L40" s="5">
        <f t="shared" ref="L40:L45" si="36">G40/C40</f>
        <v>0.13815676141257535</v>
      </c>
      <c r="M40" s="4">
        <f t="shared" ref="M40:M45" si="37">R40/U40*(100)</f>
        <v>99.632605109101362</v>
      </c>
      <c r="N40" s="4">
        <f t="shared" ref="N40:N45" si="38">S40/U40*(100)</f>
        <v>121.25374223385876</v>
      </c>
      <c r="O40" s="4">
        <f t="shared" ref="O40:O45" si="39">V40/W40*(100)</f>
        <v>1103.202846975089</v>
      </c>
      <c r="P40" s="4">
        <f t="shared" ref="P40:P45" si="40">S40/I40</f>
        <v>1342.6074074074074</v>
      </c>
      <c r="Q40" s="4">
        <f t="shared" ref="Q40:Q45" si="41">T40/O40</f>
        <v>0.98875741935483863</v>
      </c>
      <c r="R40" s="11">
        <f t="shared" ref="R40:R45" si="42">O40*I40</f>
        <v>185701.22735864966</v>
      </c>
      <c r="S40" s="3">
        <v>226000</v>
      </c>
      <c r="T40" s="3">
        <v>1090.8</v>
      </c>
      <c r="U40" s="6">
        <v>186386</v>
      </c>
      <c r="V40" s="3">
        <v>62</v>
      </c>
      <c r="W40" s="3">
        <v>5.62</v>
      </c>
      <c r="X40" s="3">
        <v>0.56999999999999995</v>
      </c>
    </row>
    <row r="41" spans="1:24" x14ac:dyDescent="0.2">
      <c r="A41" s="1" t="s">
        <v>24</v>
      </c>
      <c r="B41" s="2">
        <v>46201</v>
      </c>
      <c r="C41" s="3">
        <v>43</v>
      </c>
      <c r="D41" s="3">
        <v>1240</v>
      </c>
      <c r="E41" s="3">
        <v>220</v>
      </c>
      <c r="F41" s="4">
        <v>4</v>
      </c>
      <c r="G41" s="12">
        <f t="shared" si="32"/>
        <v>5.6363636363636367</v>
      </c>
      <c r="H41" s="4">
        <f t="shared" si="33"/>
        <v>5.75</v>
      </c>
      <c r="I41" s="4">
        <f t="shared" si="34"/>
        <v>177.41935483870967</v>
      </c>
      <c r="J41" s="3">
        <v>0.25</v>
      </c>
      <c r="K41" s="4">
        <f t="shared" si="35"/>
        <v>0.23376623376623382</v>
      </c>
      <c r="L41" s="5">
        <f t="shared" si="36"/>
        <v>0.13107822410147993</v>
      </c>
      <c r="M41" s="4">
        <f t="shared" si="37"/>
        <v>103.31903877776463</v>
      </c>
      <c r="N41" s="4">
        <f t="shared" si="38"/>
        <v>118.68343240671584</v>
      </c>
      <c r="O41" s="4">
        <f t="shared" si="39"/>
        <v>1138.353765323993</v>
      </c>
      <c r="P41" s="4">
        <f t="shared" si="40"/>
        <v>1307.6363636363637</v>
      </c>
      <c r="Q41" s="4">
        <f t="shared" si="41"/>
        <v>0.992398</v>
      </c>
      <c r="R41" s="11">
        <f t="shared" si="42"/>
        <v>201965.99062199873</v>
      </c>
      <c r="S41" s="3">
        <v>232000</v>
      </c>
      <c r="T41" s="3">
        <v>1129.7</v>
      </c>
      <c r="U41" s="3">
        <v>195478</v>
      </c>
      <c r="V41" s="3">
        <v>65</v>
      </c>
      <c r="W41" s="3">
        <v>5.71</v>
      </c>
      <c r="X41" s="3">
        <v>0.56999999999999995</v>
      </c>
    </row>
    <row r="42" spans="1:24" x14ac:dyDescent="0.2">
      <c r="A42" s="1" t="s">
        <v>25</v>
      </c>
      <c r="B42" s="2">
        <v>46201</v>
      </c>
      <c r="C42" s="3">
        <v>43</v>
      </c>
      <c r="D42" s="3">
        <v>888</v>
      </c>
      <c r="E42" s="3">
        <v>160</v>
      </c>
      <c r="F42" s="4">
        <v>3.8947368421052633</v>
      </c>
      <c r="G42" s="12">
        <f t="shared" si="32"/>
        <v>5.55</v>
      </c>
      <c r="H42" s="4">
        <f t="shared" si="33"/>
        <v>5.6447368421052637</v>
      </c>
      <c r="I42" s="4">
        <f t="shared" si="34"/>
        <v>180.18018018018017</v>
      </c>
      <c r="J42" s="3">
        <v>0.25</v>
      </c>
      <c r="K42" s="4">
        <f t="shared" si="35"/>
        <v>0.2364661654135338</v>
      </c>
      <c r="L42" s="5">
        <f t="shared" si="36"/>
        <v>0.12906976744186047</v>
      </c>
      <c r="M42" s="4">
        <f t="shared" si="37"/>
        <v>103.35870592307627</v>
      </c>
      <c r="N42" s="4">
        <f t="shared" si="38"/>
        <v>116.30788213460362</v>
      </c>
      <c r="O42" s="4">
        <f t="shared" si="39"/>
        <v>1134.3804537521814</v>
      </c>
      <c r="P42" s="4">
        <f t="shared" si="40"/>
        <v>1276.5</v>
      </c>
      <c r="Q42" s="4">
        <f t="shared" si="41"/>
        <v>0.96581353846153839</v>
      </c>
      <c r="R42" s="11">
        <f t="shared" si="42"/>
        <v>204392.87454994259</v>
      </c>
      <c r="S42" s="3">
        <v>230000</v>
      </c>
      <c r="T42" s="3">
        <v>1095.5999999999999</v>
      </c>
      <c r="U42" s="3">
        <v>197751</v>
      </c>
      <c r="V42" s="3">
        <v>65</v>
      </c>
      <c r="W42" s="3">
        <v>5.73</v>
      </c>
      <c r="X42" s="3">
        <v>0.56999999999999995</v>
      </c>
    </row>
    <row r="43" spans="1:24" x14ac:dyDescent="0.2">
      <c r="A43" s="1" t="s">
        <v>26</v>
      </c>
      <c r="B43" s="2">
        <v>46201</v>
      </c>
      <c r="C43" s="3">
        <v>43</v>
      </c>
      <c r="D43" s="3">
        <v>663</v>
      </c>
      <c r="E43" s="3">
        <v>118</v>
      </c>
      <c r="F43" s="4">
        <v>3.7838827838827838</v>
      </c>
      <c r="G43" s="12">
        <f t="shared" si="32"/>
        <v>5.6186440677966099</v>
      </c>
      <c r="H43" s="4">
        <f t="shared" si="33"/>
        <v>5.5338827838827838</v>
      </c>
      <c r="I43" s="4">
        <f t="shared" si="34"/>
        <v>177.97888386123682</v>
      </c>
      <c r="J43" s="3">
        <v>0.25</v>
      </c>
      <c r="K43" s="4">
        <f t="shared" si="35"/>
        <v>0.26210875484483231</v>
      </c>
      <c r="L43" s="5">
        <f t="shared" si="36"/>
        <v>0.13066614111154906</v>
      </c>
      <c r="M43" s="4">
        <f t="shared" si="37"/>
        <v>99.283152250315169</v>
      </c>
      <c r="N43" s="4">
        <f t="shared" si="38"/>
        <v>113.61274009756193</v>
      </c>
      <c r="O43" s="4">
        <f t="shared" si="39"/>
        <v>1153.8461538461538</v>
      </c>
      <c r="P43" s="4">
        <f t="shared" si="40"/>
        <v>1320.3813559322032</v>
      </c>
      <c r="Q43" s="4">
        <f t="shared" si="41"/>
        <v>0.98150000000000004</v>
      </c>
      <c r="R43" s="11">
        <f t="shared" si="42"/>
        <v>205360.25060911939</v>
      </c>
      <c r="S43" s="3">
        <v>235000</v>
      </c>
      <c r="T43" s="3">
        <v>1132.5</v>
      </c>
      <c r="U43" s="3">
        <v>206843</v>
      </c>
      <c r="V43" s="3">
        <v>66</v>
      </c>
      <c r="W43" s="3">
        <v>5.72</v>
      </c>
      <c r="X43" s="3">
        <v>0.56999999999999995</v>
      </c>
    </row>
    <row r="44" spans="1:24" x14ac:dyDescent="0.2">
      <c r="A44" s="1" t="s">
        <v>27</v>
      </c>
      <c r="B44" s="2">
        <v>46201</v>
      </c>
      <c r="C44" s="3">
        <v>43</v>
      </c>
      <c r="D44" s="3">
        <v>1030</v>
      </c>
      <c r="E44" s="3">
        <v>177</v>
      </c>
      <c r="F44" s="4">
        <v>4.1056910569105689</v>
      </c>
      <c r="G44" s="12">
        <f t="shared" si="32"/>
        <v>5.8192090395480225</v>
      </c>
      <c r="H44" s="4">
        <f t="shared" si="33"/>
        <v>5.8556910569105689</v>
      </c>
      <c r="I44" s="4">
        <f t="shared" si="34"/>
        <v>171.84466019417476</v>
      </c>
      <c r="J44" s="3">
        <v>0.25</v>
      </c>
      <c r="K44" s="4">
        <f t="shared" si="35"/>
        <v>0.24478828323392193</v>
      </c>
      <c r="L44" s="5">
        <f t="shared" si="36"/>
        <v>0.13533044278018658</v>
      </c>
      <c r="M44" s="4">
        <f t="shared" si="37"/>
        <v>98.554085499037498</v>
      </c>
      <c r="N44" s="4">
        <f t="shared" si="38"/>
        <v>116.04404572900526</v>
      </c>
      <c r="O44" s="4">
        <f t="shared" si="39"/>
        <v>899.47089947089955</v>
      </c>
      <c r="P44" s="4">
        <f t="shared" si="40"/>
        <v>1059.0960451977401</v>
      </c>
      <c r="Q44" s="4">
        <f t="shared" si="41"/>
        <v>0.9815770588235293</v>
      </c>
      <c r="R44" s="11">
        <f t="shared" si="42"/>
        <v>154569.27107412546</v>
      </c>
      <c r="S44" s="3">
        <v>182000</v>
      </c>
      <c r="T44" s="3">
        <v>882.9</v>
      </c>
      <c r="U44" s="3">
        <v>156837</v>
      </c>
      <c r="V44" s="3">
        <v>51</v>
      </c>
      <c r="W44" s="3">
        <v>5.67</v>
      </c>
      <c r="X44" s="3">
        <v>0.56999999999999995</v>
      </c>
    </row>
    <row r="45" spans="1:24" x14ac:dyDescent="0.2">
      <c r="A45" s="1" t="s">
        <v>28</v>
      </c>
      <c r="B45" s="2">
        <v>46201</v>
      </c>
      <c r="C45" s="3">
        <v>43</v>
      </c>
      <c r="D45" s="3">
        <v>998</v>
      </c>
      <c r="E45" s="3">
        <v>178</v>
      </c>
      <c r="F45" s="4">
        <v>3.9914529914529915</v>
      </c>
      <c r="G45" s="12">
        <f t="shared" si="32"/>
        <v>5.606741573033708</v>
      </c>
      <c r="H45" s="4">
        <f t="shared" si="33"/>
        <v>5.7414529914529915</v>
      </c>
      <c r="I45" s="4">
        <f t="shared" si="34"/>
        <v>178.3567134268537</v>
      </c>
      <c r="J45" s="3">
        <v>0.25</v>
      </c>
      <c r="K45" s="4">
        <f t="shared" si="35"/>
        <v>0.23075551165438807</v>
      </c>
      <c r="L45" s="5">
        <f t="shared" si="36"/>
        <v>0.13038933890776064</v>
      </c>
      <c r="M45" s="4">
        <f t="shared" si="37"/>
        <v>81.149329945280414</v>
      </c>
      <c r="N45" s="4">
        <f t="shared" si="38"/>
        <v>111.53591146527206</v>
      </c>
      <c r="O45" s="4">
        <f t="shared" si="39"/>
        <v>734.2657342657343</v>
      </c>
      <c r="P45" s="4">
        <f t="shared" si="40"/>
        <v>1009.2134831460675</v>
      </c>
      <c r="Q45" s="4">
        <f t="shared" si="41"/>
        <v>1.1384161904761905</v>
      </c>
      <c r="R45" s="11">
        <f t="shared" si="42"/>
        <v>130961.22314559188</v>
      </c>
      <c r="S45" s="3">
        <v>180000</v>
      </c>
      <c r="T45" s="3">
        <v>835.9</v>
      </c>
      <c r="U45" s="3">
        <v>161383</v>
      </c>
      <c r="V45" s="3">
        <v>42</v>
      </c>
      <c r="W45" s="3">
        <v>5.72</v>
      </c>
      <c r="X45" s="3">
        <v>0.55000000000000004</v>
      </c>
    </row>
    <row r="46" spans="1:24" x14ac:dyDescent="0.2">
      <c r="G46" s="4">
        <f>AVERAGE(G40:G45)</f>
        <v>5.6952831762471199</v>
      </c>
      <c r="O46" s="9">
        <f>SUM(O40:O45)</f>
        <v>6163.5198536340513</v>
      </c>
      <c r="P46" s="9">
        <f>SUM(P40:P45)</f>
        <v>7315.4346553197811</v>
      </c>
      <c r="T46" s="10">
        <f>SUM(T40:T45)</f>
        <v>6167.4</v>
      </c>
    </row>
    <row r="50" spans="1:24" ht="19" x14ac:dyDescent="0.25">
      <c r="E50" s="8" t="s">
        <v>38</v>
      </c>
      <c r="F50" s="8"/>
      <c r="G50" s="8"/>
      <c r="H50" s="8"/>
      <c r="I50" s="8"/>
      <c r="J50" s="8"/>
      <c r="K50" s="8"/>
    </row>
    <row r="51" spans="1:24" x14ac:dyDescent="0.2">
      <c r="A51" s="7" t="s">
        <v>0</v>
      </c>
      <c r="B51" s="7" t="s">
        <v>1</v>
      </c>
      <c r="C51" s="7" t="s">
        <v>2</v>
      </c>
      <c r="D51" s="13" t="s">
        <v>3</v>
      </c>
      <c r="E51" s="13"/>
      <c r="F51" s="13" t="s">
        <v>30</v>
      </c>
      <c r="G51" s="13"/>
      <c r="H51" s="13"/>
      <c r="I51" s="7" t="s">
        <v>8</v>
      </c>
      <c r="J51" s="13" t="s">
        <v>9</v>
      </c>
      <c r="K51" s="13"/>
      <c r="L51" s="13" t="s">
        <v>11</v>
      </c>
      <c r="M51" s="13" t="s">
        <v>12</v>
      </c>
      <c r="N51" s="13"/>
      <c r="O51" s="13" t="s">
        <v>32</v>
      </c>
      <c r="P51" s="13"/>
      <c r="Q51" s="7" t="s">
        <v>17</v>
      </c>
      <c r="R51" s="13" t="s">
        <v>18</v>
      </c>
      <c r="S51" s="13"/>
      <c r="T51" s="7" t="s">
        <v>20</v>
      </c>
      <c r="U51" s="7" t="s">
        <v>21</v>
      </c>
      <c r="V51" s="7" t="s">
        <v>22</v>
      </c>
      <c r="W51" s="7" t="s">
        <v>15</v>
      </c>
      <c r="X51" s="7" t="s">
        <v>16</v>
      </c>
    </row>
    <row r="52" spans="1:24" x14ac:dyDescent="0.2">
      <c r="A52" s="7"/>
      <c r="B52" s="7"/>
      <c r="C52" s="7"/>
      <c r="D52" s="7" t="s">
        <v>4</v>
      </c>
      <c r="E52" s="7" t="s">
        <v>5</v>
      </c>
      <c r="F52" s="7" t="s">
        <v>6</v>
      </c>
      <c r="G52" s="7" t="s">
        <v>29</v>
      </c>
      <c r="H52" s="7" t="s">
        <v>7</v>
      </c>
      <c r="I52" s="7"/>
      <c r="J52" s="7" t="s">
        <v>7</v>
      </c>
      <c r="K52" s="7" t="s">
        <v>10</v>
      </c>
      <c r="L52" s="13"/>
      <c r="M52" s="7" t="s">
        <v>13</v>
      </c>
      <c r="N52" s="7" t="s">
        <v>14</v>
      </c>
      <c r="O52" s="7" t="s">
        <v>15</v>
      </c>
      <c r="P52" s="7" t="s">
        <v>16</v>
      </c>
      <c r="Q52" s="7"/>
      <c r="R52" s="7" t="s">
        <v>15</v>
      </c>
      <c r="S52" s="7" t="s">
        <v>19</v>
      </c>
      <c r="T52" s="7" t="s">
        <v>34</v>
      </c>
      <c r="U52" s="7"/>
      <c r="V52" s="7"/>
      <c r="W52" s="7"/>
      <c r="X52" s="7"/>
    </row>
    <row r="53" spans="1:24" x14ac:dyDescent="0.2">
      <c r="A53" s="1" t="s">
        <v>23</v>
      </c>
      <c r="B53" s="2">
        <v>46208</v>
      </c>
      <c r="C53" s="3">
        <v>50</v>
      </c>
      <c r="D53" s="3">
        <v>969</v>
      </c>
      <c r="E53" s="3">
        <v>117</v>
      </c>
      <c r="F53" s="4">
        <v>5.9407407407407407</v>
      </c>
      <c r="G53" s="12">
        <f t="shared" ref="G53:G58" si="43">D53/E53</f>
        <v>8.2820512820512828</v>
      </c>
      <c r="H53" s="4">
        <f t="shared" ref="H53:H58" si="44">F53+(J53*7)</f>
        <v>7.6907407407407407</v>
      </c>
      <c r="I53" s="4">
        <f t="shared" ref="I53:I58" si="45">1000/G53</f>
        <v>120.74303405572755</v>
      </c>
      <c r="J53" s="3">
        <v>0.25</v>
      </c>
      <c r="K53" s="4">
        <f t="shared" ref="K53:K58" si="46">(G53-F53)/7</f>
        <v>0.33447293447293458</v>
      </c>
      <c r="L53" s="5">
        <f t="shared" ref="L53:L58" si="47">G53/C53</f>
        <v>0.16564102564102565</v>
      </c>
      <c r="M53" s="4">
        <f t="shared" ref="M53:M58" si="48">R53/U53*(100)</f>
        <v>102.97208325227918</v>
      </c>
      <c r="N53" s="4">
        <f t="shared" ref="N53:N58" si="49">S53/U53*(100)</f>
        <v>121.25374223385876</v>
      </c>
      <c r="O53" s="4">
        <f t="shared" ref="O53:O58" si="50">V53/W53*(100)</f>
        <v>1589.5372233400403</v>
      </c>
      <c r="P53" s="4">
        <f t="shared" ref="P53:P58" si="51">S53/I53</f>
        <v>1871.7435897435898</v>
      </c>
      <c r="Q53" s="4">
        <f>T53/O53</f>
        <v>0.98487784810126577</v>
      </c>
      <c r="R53" s="11">
        <f t="shared" ref="R53:R58" si="52">O53*I53</f>
        <v>191925.54709059309</v>
      </c>
      <c r="S53" s="3">
        <v>226000</v>
      </c>
      <c r="T53" s="3">
        <v>1565.5</v>
      </c>
      <c r="U53" s="6">
        <v>186386</v>
      </c>
      <c r="V53" s="3">
        <v>79</v>
      </c>
      <c r="W53" s="3">
        <v>4.97</v>
      </c>
      <c r="X53" s="3">
        <v>0.69</v>
      </c>
    </row>
    <row r="54" spans="1:24" x14ac:dyDescent="0.2">
      <c r="A54" s="1" t="s">
        <v>24</v>
      </c>
      <c r="B54" s="2">
        <v>46208</v>
      </c>
      <c r="C54" s="3">
        <v>50</v>
      </c>
      <c r="D54" s="3">
        <v>1013</v>
      </c>
      <c r="E54" s="3">
        <v>144</v>
      </c>
      <c r="F54" s="4">
        <v>5.6363636363636367</v>
      </c>
      <c r="G54" s="12">
        <f t="shared" si="43"/>
        <v>7.0347222222222223</v>
      </c>
      <c r="H54" s="4">
        <f t="shared" si="44"/>
        <v>7.3863636363636367</v>
      </c>
      <c r="I54" s="4">
        <f t="shared" si="45"/>
        <v>142.15202369200395</v>
      </c>
      <c r="J54" s="3">
        <v>0.25</v>
      </c>
      <c r="K54" s="4">
        <f t="shared" si="46"/>
        <v>0.19976551226551223</v>
      </c>
      <c r="L54" s="5">
        <f t="shared" si="47"/>
        <v>0.14069444444444446</v>
      </c>
      <c r="M54" s="4">
        <f t="shared" si="48"/>
        <v>107.58234191615796</v>
      </c>
      <c r="N54" s="4">
        <f t="shared" si="49"/>
        <v>118.68343240671584</v>
      </c>
      <c r="O54" s="4">
        <f t="shared" si="50"/>
        <v>1479.4007490636704</v>
      </c>
      <c r="P54" s="4">
        <f t="shared" si="51"/>
        <v>1632.0555555555554</v>
      </c>
      <c r="Q54" s="4">
        <f>T54/O54</f>
        <v>1.08402</v>
      </c>
      <c r="R54" s="11">
        <f t="shared" si="52"/>
        <v>210299.81033086727</v>
      </c>
      <c r="S54" s="3">
        <v>232000</v>
      </c>
      <c r="T54" s="3">
        <v>1603.7</v>
      </c>
      <c r="U54" s="3">
        <v>195478</v>
      </c>
      <c r="V54" s="3">
        <v>79</v>
      </c>
      <c r="W54" s="3">
        <v>5.34</v>
      </c>
      <c r="X54" s="3">
        <v>0.68</v>
      </c>
    </row>
    <row r="55" spans="1:24" x14ac:dyDescent="0.2">
      <c r="A55" s="1" t="s">
        <v>25</v>
      </c>
      <c r="B55" s="2">
        <v>46208</v>
      </c>
      <c r="C55" s="3">
        <v>50</v>
      </c>
      <c r="D55" s="3">
        <v>1140</v>
      </c>
      <c r="E55" s="3">
        <v>150</v>
      </c>
      <c r="F55" s="4">
        <v>5.55</v>
      </c>
      <c r="G55" s="12">
        <f t="shared" si="43"/>
        <v>7.6</v>
      </c>
      <c r="H55" s="4">
        <f t="shared" si="44"/>
        <v>7.3</v>
      </c>
      <c r="I55" s="4">
        <f t="shared" si="45"/>
        <v>131.57894736842107</v>
      </c>
      <c r="J55" s="3">
        <v>0.25</v>
      </c>
      <c r="K55" s="4">
        <f t="shared" si="46"/>
        <v>0.29285714285714282</v>
      </c>
      <c r="L55" s="5">
        <f t="shared" si="47"/>
        <v>0.152</v>
      </c>
      <c r="M55" s="4">
        <f t="shared" si="48"/>
        <v>96.524695369953321</v>
      </c>
      <c r="N55" s="4">
        <f t="shared" si="49"/>
        <v>116.30788213460362</v>
      </c>
      <c r="O55" s="4">
        <f t="shared" si="50"/>
        <v>1450.6769825918764</v>
      </c>
      <c r="P55" s="4">
        <f t="shared" si="51"/>
        <v>1747.9999999999998</v>
      </c>
      <c r="Q55" s="4">
        <f>T55/O55</f>
        <v>1.0592295999999999</v>
      </c>
      <c r="R55" s="11">
        <f t="shared" si="52"/>
        <v>190878.55034103637</v>
      </c>
      <c r="S55" s="3">
        <v>230000</v>
      </c>
      <c r="T55" s="3">
        <v>1536.6</v>
      </c>
      <c r="U55" s="3">
        <v>197751</v>
      </c>
      <c r="V55" s="3">
        <v>75</v>
      </c>
      <c r="W55" s="3">
        <v>5.17</v>
      </c>
      <c r="X55" s="3">
        <v>0.68</v>
      </c>
    </row>
    <row r="56" spans="1:24" x14ac:dyDescent="0.2">
      <c r="A56" s="1" t="s">
        <v>26</v>
      </c>
      <c r="B56" s="2">
        <v>46208</v>
      </c>
      <c r="C56" s="3">
        <v>50</v>
      </c>
      <c r="D56" s="3">
        <v>1078</v>
      </c>
      <c r="E56" s="3">
        <v>152</v>
      </c>
      <c r="F56" s="4">
        <v>5.6186440677966099</v>
      </c>
      <c r="G56" s="12">
        <f t="shared" si="43"/>
        <v>7.0921052631578947</v>
      </c>
      <c r="H56" s="4">
        <f t="shared" si="44"/>
        <v>7.3686440677966099</v>
      </c>
      <c r="I56" s="4">
        <f t="shared" si="45"/>
        <v>141.00185528756958</v>
      </c>
      <c r="J56" s="3">
        <v>0.25</v>
      </c>
      <c r="K56" s="4">
        <f t="shared" si="46"/>
        <v>0.21049445648018356</v>
      </c>
      <c r="L56" s="5">
        <f t="shared" si="47"/>
        <v>0.14184210526315788</v>
      </c>
      <c r="M56" s="4">
        <f t="shared" si="48"/>
        <v>89.86436668383601</v>
      </c>
      <c r="N56" s="4">
        <f t="shared" si="49"/>
        <v>113.61274009756193</v>
      </c>
      <c r="O56" s="4">
        <f t="shared" si="50"/>
        <v>1318.2674199623352</v>
      </c>
      <c r="P56" s="4">
        <f t="shared" si="51"/>
        <v>1666.6447368421052</v>
      </c>
      <c r="Q56" s="4">
        <f>T56/O56</f>
        <v>1.1837507142857142</v>
      </c>
      <c r="R56" s="11">
        <f t="shared" si="52"/>
        <v>185878.15197984691</v>
      </c>
      <c r="S56" s="3">
        <v>235000</v>
      </c>
      <c r="T56" s="3">
        <v>1560.5</v>
      </c>
      <c r="U56" s="3">
        <v>206843</v>
      </c>
      <c r="V56" s="3">
        <v>70</v>
      </c>
      <c r="W56" s="3">
        <v>5.31</v>
      </c>
      <c r="X56" s="3">
        <v>0.59</v>
      </c>
    </row>
    <row r="57" spans="1:24" x14ac:dyDescent="0.2">
      <c r="A57" s="1" t="s">
        <v>27</v>
      </c>
      <c r="B57" s="2">
        <v>46208</v>
      </c>
      <c r="C57" s="3">
        <v>50</v>
      </c>
      <c r="D57" s="3">
        <v>751</v>
      </c>
      <c r="E57" s="3">
        <v>92</v>
      </c>
      <c r="F57" s="4">
        <v>5.8192090395480225</v>
      </c>
      <c r="G57" s="12">
        <f t="shared" si="43"/>
        <v>8.1630434782608692</v>
      </c>
      <c r="H57" s="4">
        <f t="shared" si="44"/>
        <v>7.5692090395480225</v>
      </c>
      <c r="I57" s="4">
        <f t="shared" si="45"/>
        <v>122.50332889480693</v>
      </c>
      <c r="J57" s="3">
        <v>0.25</v>
      </c>
      <c r="K57" s="4">
        <f t="shared" si="46"/>
        <v>0.33483349124469236</v>
      </c>
      <c r="L57" s="5">
        <f t="shared" si="47"/>
        <v>0.16326086956521738</v>
      </c>
      <c r="M57" s="4">
        <f t="shared" si="48"/>
        <v>104.24865234830254</v>
      </c>
      <c r="N57" s="4">
        <f t="shared" si="49"/>
        <v>116.04404572900526</v>
      </c>
      <c r="O57" s="4">
        <f t="shared" si="50"/>
        <v>1334.6613545816733</v>
      </c>
      <c r="P57" s="4">
        <f t="shared" si="51"/>
        <v>1485.6739130434783</v>
      </c>
      <c r="Q57" s="4">
        <f>T57/O57</f>
        <v>0.94773104477611947</v>
      </c>
      <c r="R57" s="11">
        <f t="shared" si="52"/>
        <v>163500.45888350726</v>
      </c>
      <c r="S57" s="3">
        <v>182000</v>
      </c>
      <c r="T57" s="3">
        <v>1264.9000000000001</v>
      </c>
      <c r="U57" s="3">
        <v>156837</v>
      </c>
      <c r="V57" s="3">
        <v>67</v>
      </c>
      <c r="W57" s="3">
        <v>5.0199999999999996</v>
      </c>
      <c r="X57" s="3">
        <v>0.73</v>
      </c>
    </row>
    <row r="58" spans="1:24" x14ac:dyDescent="0.2">
      <c r="A58" s="1" t="s">
        <v>28</v>
      </c>
      <c r="B58" s="2">
        <v>46208</v>
      </c>
      <c r="C58" s="3">
        <v>50</v>
      </c>
      <c r="D58" s="3">
        <v>923</v>
      </c>
      <c r="E58" s="3">
        <v>135</v>
      </c>
      <c r="F58" s="4">
        <v>5.606741573033708</v>
      </c>
      <c r="G58" s="12">
        <f t="shared" si="43"/>
        <v>6.837037037037037</v>
      </c>
      <c r="H58" s="4">
        <f t="shared" si="44"/>
        <v>7.356741573033708</v>
      </c>
      <c r="I58" s="4">
        <f t="shared" si="45"/>
        <v>146.26218851570965</v>
      </c>
      <c r="J58" s="3">
        <v>0.25</v>
      </c>
      <c r="K58" s="4">
        <f t="shared" si="46"/>
        <v>0.17575649485761843</v>
      </c>
      <c r="L58" s="5">
        <f t="shared" si="47"/>
        <v>0.13674074074074075</v>
      </c>
      <c r="M58" s="4">
        <f t="shared" si="48"/>
        <v>65.821019434223032</v>
      </c>
      <c r="N58" s="4">
        <f t="shared" si="49"/>
        <v>92.946592887726709</v>
      </c>
      <c r="O58" s="4">
        <f t="shared" si="50"/>
        <v>726.25698324022346</v>
      </c>
      <c r="P58" s="4">
        <f t="shared" si="51"/>
        <v>1025.5555555555554</v>
      </c>
      <c r="Q58" s="4">
        <f>T58/P58</f>
        <v>0.99546045503791991</v>
      </c>
      <c r="R58" s="11">
        <f t="shared" si="52"/>
        <v>106223.93579353215</v>
      </c>
      <c r="S58" s="3">
        <v>150000</v>
      </c>
      <c r="T58" s="3">
        <v>1020.9</v>
      </c>
      <c r="U58" s="3">
        <v>161383</v>
      </c>
      <c r="V58" s="3">
        <v>39</v>
      </c>
      <c r="W58" s="3">
        <v>5.37</v>
      </c>
      <c r="X58" s="3">
        <v>0.43</v>
      </c>
    </row>
    <row r="59" spans="1:24" x14ac:dyDescent="0.2">
      <c r="G59" s="4">
        <f>AVERAGE(G53:G58)</f>
        <v>7.5014932137882182</v>
      </c>
      <c r="O59" s="9">
        <f>SUM(O53:O58)</f>
        <v>7898.8007127798192</v>
      </c>
      <c r="P59" s="9">
        <f>SUM(P53:P58)</f>
        <v>9429.6733507402841</v>
      </c>
      <c r="T59" s="10">
        <f>SUM(T53:T58)</f>
        <v>8552.0999999999985</v>
      </c>
    </row>
  </sheetData>
  <mergeCells count="35">
    <mergeCell ref="O27:P27"/>
    <mergeCell ref="R27:S27"/>
    <mergeCell ref="D27:E27"/>
    <mergeCell ref="F27:H27"/>
    <mergeCell ref="J27:K27"/>
    <mergeCell ref="L27:L28"/>
    <mergeCell ref="M27:N27"/>
    <mergeCell ref="R3:S3"/>
    <mergeCell ref="D3:E3"/>
    <mergeCell ref="F3:H3"/>
    <mergeCell ref="J3:K3"/>
    <mergeCell ref="L3:L4"/>
    <mergeCell ref="M3:N3"/>
    <mergeCell ref="O3:P3"/>
    <mergeCell ref="O15:P15"/>
    <mergeCell ref="R15:S15"/>
    <mergeCell ref="D15:E15"/>
    <mergeCell ref="F15:H15"/>
    <mergeCell ref="J15:K15"/>
    <mergeCell ref="L15:L16"/>
    <mergeCell ref="M15:N15"/>
    <mergeCell ref="O38:P38"/>
    <mergeCell ref="R38:S38"/>
    <mergeCell ref="D38:E38"/>
    <mergeCell ref="F38:H38"/>
    <mergeCell ref="J38:K38"/>
    <mergeCell ref="L38:L39"/>
    <mergeCell ref="M38:N38"/>
    <mergeCell ref="O51:P51"/>
    <mergeCell ref="R51:S51"/>
    <mergeCell ref="D51:E51"/>
    <mergeCell ref="F51:H51"/>
    <mergeCell ref="J51:K51"/>
    <mergeCell ref="L51:L52"/>
    <mergeCell ref="M51:N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Alip Didu</dc:creator>
  <cp:lastModifiedBy>Riswanto mr</cp:lastModifiedBy>
  <dcterms:created xsi:type="dcterms:W3CDTF">2026-06-14T20:51:26Z</dcterms:created>
  <dcterms:modified xsi:type="dcterms:W3CDTF">2026-07-11T05:34:16Z</dcterms:modified>
</cp:coreProperties>
</file>